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1deb9383d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economics" sheetId="1" r:id="Ra186075578914bef"/>
    <x:sheet xmlns:r="http://schemas.openxmlformats.org/officeDocument/2006/relationships" name="Assumptions" sheetId="2" r:id="R439ba08f273645e2"/>
    <x:sheet xmlns:r="http://schemas.openxmlformats.org/officeDocument/2006/relationships" name="Monthly model" sheetId="3" r:id="R78a8ef7ac370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;(0.0%);&quot;—&quot;"/>
    <x:numFmt numFmtId="201" formatCode="0"/>
    <x:numFmt numFmtId="202" formatCode="&quot;€&quot;#,##0.00;(&quot;€&quot;#,##0.00);&quot;—&quot;"/>
    <x:numFmt numFmtId="203" formatCode="#,##0;(#,##0);&quot;—&quot;"/>
    <x:numFmt numFmtId="204" formatCode="0.0000"/>
    <x:numFmt numFmtId="205" formatCode="#,##0.00;(#,##0.00);&quot;—&quot;"/>
    <x:numFmt numFmtId="206" formatCode="0.00%;(0.00%);&quot;—&quot;"/>
    <x:numFmt numFmtId="207" formatCode="&quot;$&quot;#,##0.00;(&quot;$&quot;#,##0.00);&quot;—&quot;"/>
  </x:numFmts>
  <x:fonts count="7">
    <x:font>
      <x:sz val="11"/>
      <x:name val="Carlito"/>
    </x:font>
    <x:font>
      <x:sz val="10"/>
      <x:color rgb="FF000000"/>
      <x:name val="Arial"/>
    </x:font>
    <x:font>
      <x:b/>
      <x:sz val="16"/>
      <x:color rgb="FF18372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000000"/>
      <x:name val="Arial"/>
    </x:font>
    <x:font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4D40"/>
      </x:patternFill>
    </x:fill>
    <x:fill>
      <x:patternFill patternType="solid">
        <x:fgColor rgb="FFFFF2CE"/>
      </x:patternFill>
    </x:fill>
    <x:fill>
      <x:patternFill patternType="solid">
        <x:fgColor rgb="FFEFF5F1"/>
      </x:patternFill>
    </x:fill>
    <x:fill>
      <x:patternFill patternType="solid">
        <x:fgColor rgb="FFF7F9F7"/>
      </x:patternFill>
    </x:fill>
  </x:fills>
  <x:borders count="2">
    <x:border/>
    <x:border>
      <x:bottom style="thin">
        <x:color rgb="FFB9C9B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6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5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205" fontId="6" fillId="5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5" fontId="5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2" fontId="5" fillId="4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ill>
        <x:patternFill patternType="solid">
          <x:bgColor rgb="FFFFE5C2"/>
        </x:patternFill>
      </x:fill>
    </x:dxf>
    <x:dxf>
      <x:font>
        <x:color rgb="FF8A5414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c744e64624761" /><Relationship Type="http://schemas.openxmlformats.org/officeDocument/2006/relationships/theme" Target="/xl/theme/theme1.xml" Id="R6670b6f630454334" /><Relationship Type="http://schemas.openxmlformats.org/officeDocument/2006/relationships/sharedStrings" Target="/xl/sharedStrings.xml" Id="Rc09973bac81047c3" /><Relationship Type="http://schemas.openxmlformats.org/officeDocument/2006/relationships/worksheet" Target="/xl/worksheets/sheet1.xml" Id="Ra186075578914bef" /><Relationship Type="http://schemas.openxmlformats.org/officeDocument/2006/relationships/worksheet" Target="/xl/worksheets/sheet2.xml" Id="R439ba08f273645e2" /><Relationship Type="http://schemas.openxmlformats.org/officeDocument/2006/relationships/worksheet" Target="/xl/worksheets/sheet3.xml" Id="R78a8ef7ac3704f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D40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.440000057220459" hidden="0" customWidth="1"/>
    <x:col min="2" max="2" width="18.889999389648438" hidden="0" customWidth="1"/>
    <x:col min="3" max="3" width="13.329999923706055" hidden="0" customWidth="1"/>
    <x:col min="4" max="4" width="10.779999732971191" hidden="0" customWidth="1"/>
    <x:col min="5" max="5" width="10.779999732971191" hidden="0" customWidth="1"/>
    <x:col min="6" max="6" width="10.779999732971191" hidden="0" customWidth="1"/>
    <x:col min="7" max="7" width="10.779999732971191" hidden="0" customWidth="1"/>
    <x:col min="8" max="8" width="10.779999732971191" hidden="0" customWidth="1"/>
    <x:col min="9" max="9" width="10.779999732971191" hidden="0" customWidth="1"/>
    <x:col min="10" max="10" width="10.779999732971191" hidden="0" customWidth="1"/>
    <x:col min="11" max="11" width="10.779999732971191" hidden="0" customWidth="1"/>
    <x:col min="12" max="12" width="10.779999732971191" hidden="0" customWidth="1"/>
    <x:col min="13" max="13" width="10.779999732971191" hidden="0" customWidth="1"/>
    <x:col min="14" max="14" width="10.779999732971191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2"/>
      <x:c r="B2" s="3" t="str">
        <x:v>Token Circles subscription proceeds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 ht="23" customHeight="1">
      <x:c r="A4" s="2"/>
      <x:c r="B4" s="2" t="str">
        <x:v>EUR per successful initial charge. After modeled refunds and transaction tax; before RevenueCat and operating costs.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/>
      <x:c r="B5" s="2" t="str">
        <x:v>Tax rate</x:v>
      </x:c>
      <x:c r="C5" s="21" t="n">
        <x:f>'Assumptions'!C6</x:f>
        <x:v>0.25</x:v>
      </x:c>
      <x:c r="D5" s="2"/>
      <x:c r="E5" s="2" t="str">
        <x:v>Tax included</x:v>
      </x:c>
      <x:c r="F5" s="2" t="n">
        <x:f>'Assumptions'!C7</x:f>
        <x:v>1</x:v>
      </x:c>
      <x:c r="G5" s="2"/>
      <x:c r="H5" s="2" t="str">
        <x:v>Refund rate</x:v>
      </x:c>
      <x:c r="I5" s="21" t="n">
        <x:f>'Assumptions'!C8</x:f>
        <x:v>0</x:v>
      </x:c>
      <x:c r="J5" s="2"/>
      <x:c r="K5" s="2"/>
      <x:c r="L5" s="2"/>
      <x:c r="M5" s="2"/>
      <x:c r="N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52" customHeight="1">
      <x:c r="A7" s="2"/>
      <x:c r="B7" s="8" t="str">
        <x:v>Plan</x:v>
      </x:c>
      <x:c r="C7" s="8" t="str">
        <x:v>Interval</x:v>
      </x:c>
      <x:c r="D7" s="8" t="str">
        <x:v>Customer total</x:v>
      </x:c>
      <x:c r="E7" s="8" t="str">
        <x:v>Native reduced</x:v>
      </x:c>
      <x:c r="F7" s="8" t="str">
        <x:v>EU native standard</x:v>
      </x:c>
      <x:c r="G7" s="8" t="str">
        <x:v>Ordinary native standard</x:v>
      </x:c>
      <x:c r="H7" s="8" t="str">
        <x:v>Stripe EEA card</x:v>
      </x:c>
      <x:c r="I7" s="8" t="str">
        <x:v>Stripe international</x:v>
      </x:c>
      <x:c r="J7" s="8" t="str">
        <x:v>Alt EEA reduced</x:v>
      </x:c>
      <x:c r="K7" s="8" t="str">
        <x:v>EU in-app standard</x:v>
      </x:c>
      <x:c r="L7" s="8" t="str">
        <x:v>EU link standard</x:v>
      </x:c>
      <x:c r="M7" s="8" t="str">
        <x:v>Play US alternative</x:v>
      </x:c>
      <x:c r="N7" s="8" t="str">
        <x:v>US iOS link sensitivity</x:v>
      </x:c>
    </x:row>
    <x:row r="8" ht="23" customHeight="1">
      <x:c r="A8" s="2"/>
      <x:c r="B8" s="2" t="str">
        <x:v>Basic</x:v>
      </x:c>
      <x:c r="C8" s="2" t="str">
        <x:v>Monthly</x:v>
      </x:c>
      <x:c r="D8" s="24" t="n">
        <x:f>D23</x:f>
        <x:v>3</x:v>
      </x:c>
      <x:c r="E8" s="24" t="n">
        <x:f>M23</x:f>
        <x:v>2.04</x:v>
      </x:c>
      <x:c r="F8" s="24" t="n">
        <x:f>M24</x:f>
        <x:v>1.7759999999999998</x:v>
      </x:c>
      <x:c r="G8" s="24" t="n">
        <x:f>M25</x:f>
        <x:v>1.68</x:v>
      </x:c>
      <x:c r="H8" s="24" t="n">
        <x:f>M26</x:f>
        <x:v>2.069</x:v>
      </x:c>
      <x:c r="I8" s="24" t="n">
        <x:f>M27</x:f>
        <x:v>2.0195</x:v>
      </x:c>
      <x:c r="J8" s="24" t="n">
        <x:f>M28</x:f>
        <x:v>1.829</x:v>
      </x:c>
      <x:c r="K8" s="24" t="n">
        <x:f>M29</x:f>
        <x:v>1.589</x:v>
      </x:c>
      <x:c r="L8" s="24" t="n">
        <x:f>M30</x:f>
        <x:v>1.7089999999999999</x:v>
      </x:c>
      <x:c r="M8" s="24" t="n">
        <x:f>M31</x:f>
        <x:v>1.7794999999999999</x:v>
      </x:c>
      <x:c r="N8" s="24" t="n">
        <x:f>M32</x:f>
        <x:v>2.0195</x:v>
      </x:c>
    </x:row>
    <x:row r="9" ht="23" customHeight="1">
      <x:c r="A9" s="2"/>
      <x:c r="B9" s="18" t="str">
        <x:v>Basic</x:v>
      </x:c>
      <x:c r="C9" s="18" t="str">
        <x:v>Annual</x:v>
      </x:c>
      <x:c r="D9" s="25" t="n">
        <x:f>D33</x:f>
        <x:v>30</x:v>
      </x:c>
      <x:c r="E9" s="25" t="n">
        <x:f>M33</x:f>
        <x:v>20.4</x:v>
      </x:c>
      <x:c r="F9" s="25" t="n">
        <x:f>M34</x:f>
        <x:v>17.759999999999998</x:v>
      </x:c>
      <x:c r="G9" s="25" t="n">
        <x:f>M35</x:f>
        <x:v>16.8</x:v>
      </x:c>
      <x:c r="H9" s="25" t="n">
        <x:f>M36</x:f>
        <x:v>22.94</x:v>
      </x:c>
      <x:c r="I9" s="25" t="n">
        <x:f>M37</x:f>
        <x:v>22.445</x:v>
      </x:c>
      <x:c r="J9" s="25" t="n">
        <x:f>M38</x:f>
        <x:v>20.54</x:v>
      </x:c>
      <x:c r="K9" s="25" t="n">
        <x:f>M39</x:f>
        <x:v>18.14</x:v>
      </x:c>
      <x:c r="L9" s="25" t="n">
        <x:f>M40</x:f>
        <x:v>19.34</x:v>
      </x:c>
      <x:c r="M9" s="25" t="n">
        <x:f>M41</x:f>
        <x:v>20.044999999999998</x:v>
      </x:c>
      <x:c r="N9" s="25" t="n">
        <x:f>M42</x:f>
        <x:v>22.445</x:v>
      </x:c>
    </x:row>
    <x:row r="10" ht="23" customHeight="1">
      <x:c r="A10" s="2"/>
      <x:c r="B10" s="2" t="str">
        <x:v>Advanced</x:v>
      </x:c>
      <x:c r="C10" s="2" t="str">
        <x:v>Monthly</x:v>
      </x:c>
      <x:c r="D10" s="24" t="n">
        <x:f>D43</x:f>
        <x:v>6</x:v>
      </x:c>
      <x:c r="E10" s="24" t="n">
        <x:f>M43</x:f>
        <x:v>4.08</x:v>
      </x:c>
      <x:c r="F10" s="24" t="n">
        <x:f>M44</x:f>
        <x:v>3.5519999999999996</x:v>
      </x:c>
      <x:c r="G10" s="24" t="n">
        <x:f>M45</x:f>
        <x:v>3.36</x:v>
      </x:c>
      <x:c r="H10" s="24" t="n">
        <x:f>M46</x:f>
        <x:v>4.388</x:v>
      </x:c>
      <x:c r="I10" s="24" t="n">
        <x:f>M47</x:f>
        <x:v>4.289</x:v>
      </x:c>
      <x:c r="J10" s="24" t="n">
        <x:f>M48</x:f>
        <x:v>3.908</x:v>
      </x:c>
      <x:c r="K10" s="24" t="n">
        <x:f>M49</x:f>
        <x:v>3.428</x:v>
      </x:c>
      <x:c r="L10" s="24" t="n">
        <x:f>M50</x:f>
        <x:v>3.6679999999999997</x:v>
      </x:c>
      <x:c r="M10" s="24" t="n">
        <x:f>M51</x:f>
        <x:v>3.8089999999999997</x:v>
      </x:c>
      <x:c r="N10" s="24" t="n">
        <x:f>M52</x:f>
        <x:v>4.289</x:v>
      </x:c>
    </x:row>
    <x:row r="11" ht="23" customHeight="1">
      <x:c r="A11" s="2"/>
      <x:c r="B11" s="18" t="str">
        <x:v>Advanced</x:v>
      </x:c>
      <x:c r="C11" s="18" t="str">
        <x:v>Annual</x:v>
      </x:c>
      <x:c r="D11" s="25" t="n">
        <x:f>D53</x:f>
        <x:v>60</x:v>
      </x:c>
      <x:c r="E11" s="25" t="n">
        <x:f>M53</x:f>
        <x:v>40.8</x:v>
      </x:c>
      <x:c r="F11" s="25" t="n">
        <x:f>M54</x:f>
        <x:v>35.519999999999996</x:v>
      </x:c>
      <x:c r="G11" s="25" t="n">
        <x:f>M55</x:f>
        <x:v>33.6</x:v>
      </x:c>
      <x:c r="H11" s="25" t="n">
        <x:f>M56</x:f>
        <x:v>46.13</x:v>
      </x:c>
      <x:c r="I11" s="25" t="n">
        <x:f>M57</x:f>
        <x:v>45.14</x:v>
      </x:c>
      <x:c r="J11" s="25" t="n">
        <x:f>M58</x:f>
        <x:v>41.33</x:v>
      </x:c>
      <x:c r="K11" s="25" t="n">
        <x:f>M59</x:f>
        <x:v>36.53</x:v>
      </x:c>
      <x:c r="L11" s="25" t="n">
        <x:f>M60</x:f>
        <x:v>38.93</x:v>
      </x:c>
      <x:c r="M11" s="25" t="n">
        <x:f>M61</x:f>
        <x:v>40.339999999999996</x:v>
      </x:c>
      <x:c r="N11" s="25" t="n">
        <x:f>M62</x:f>
        <x:v>45.14</x:v>
      </x:c>
    </x:row>
    <x:row r="12" ht="23" customHeight="1">
      <x:c r="A12" s="2"/>
      <x:c r="B12" s="2" t="str">
        <x:v>Ultimate</x:v>
      </x:c>
      <x:c r="C12" s="2" t="str">
        <x:v>Monthly</x:v>
      </x:c>
      <x:c r="D12" s="24" t="n">
        <x:f>D63</x:f>
        <x:v>10</x:v>
      </x:c>
      <x:c r="E12" s="24" t="n">
        <x:f>M63</x:f>
        <x:v>6.8</x:v>
      </x:c>
      <x:c r="F12" s="24" t="n">
        <x:f>M64</x:f>
        <x:v>5.92</x:v>
      </x:c>
      <x:c r="G12" s="24" t="n">
        <x:f>M65</x:f>
        <x:v>5.6</x:v>
      </x:c>
      <x:c r="H12" s="24" t="n">
        <x:f>M66</x:f>
        <x:v>7.48</x:v>
      </x:c>
      <x:c r="I12" s="24" t="n">
        <x:f>M67</x:f>
        <x:v>7.3149999999999995</x:v>
      </x:c>
      <x:c r="J12" s="24" t="n">
        <x:f>M68</x:f>
        <x:v>6.68</x:v>
      </x:c>
      <x:c r="K12" s="24" t="n">
        <x:f>M69</x:f>
        <x:v>5.880000000000001</x:v>
      </x:c>
      <x:c r="L12" s="24" t="n">
        <x:f>M70</x:f>
        <x:v>6.279999999999999</x:v>
      </x:c>
      <x:c r="M12" s="24" t="n">
        <x:f>M71</x:f>
        <x:v>6.515</x:v>
      </x:c>
      <x:c r="N12" s="24" t="n">
        <x:f>M72</x:f>
        <x:v>7.3149999999999995</x:v>
      </x:c>
    </x:row>
    <x:row r="13" ht="23" customHeight="1">
      <x:c r="A13" s="2"/>
      <x:c r="B13" s="18" t="str">
        <x:v>Ultimate</x:v>
      </x:c>
      <x:c r="C13" s="18" t="str">
        <x:v>Annual</x:v>
      </x:c>
      <x:c r="D13" s="25" t="n">
        <x:f>D73</x:f>
        <x:v>100</x:v>
      </x:c>
      <x:c r="E13" s="25" t="n">
        <x:f>M73</x:f>
        <x:v>68</x:v>
      </x:c>
      <x:c r="F13" s="25" t="n">
        <x:f>M74</x:f>
        <x:v>59.2</x:v>
      </x:c>
      <x:c r="G13" s="25" t="n">
        <x:f>M75</x:f>
        <x:v>56</x:v>
      </x:c>
      <x:c r="H13" s="25" t="n">
        <x:f>M76</x:f>
        <x:v>77.05</x:v>
      </x:c>
      <x:c r="I13" s="25" t="n">
        <x:f>M77</x:f>
        <x:v>75.4</x:v>
      </x:c>
      <x:c r="J13" s="25" t="n">
        <x:f>M78</x:f>
        <x:v>69.05</x:v>
      </x:c>
      <x:c r="K13" s="25" t="n">
        <x:f>M79</x:f>
        <x:v>61.05</x:v>
      </x:c>
      <x:c r="L13" s="25" t="n">
        <x:f>M80</x:f>
        <x:v>65.05</x:v>
      </x:c>
      <x:c r="M13" s="25" t="n">
        <x:f>M81</x:f>
        <x:v>67.4</x:v>
      </x:c>
      <x:c r="N13" s="25" t="n">
        <x:f>M82</x:f>
        <x:v>75.4</x:v>
      </x:c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3" customHeight="1">
      <x:c r="A15" s="2"/>
      <x:c r="B15" s="2" t="str">
        <x:v>Platform rate</x:v>
      </x:c>
      <x:c r="C15" s="2"/>
      <x:c r="D15" s="2"/>
      <x:c r="E15" s="21" t="n">
        <x:f>'Assumptions'!C60</x:f>
        <x:v>0.15</x:v>
      </x:c>
      <x:c r="F15" s="21" t="n">
        <x:f>'Assumptions'!C61</x:f>
        <x:v>0.26</x:v>
      </x:c>
      <x:c r="G15" s="21" t="n">
        <x:f>'Assumptions'!C62</x:f>
        <x:v>0.3</x:v>
      </x:c>
      <x:c r="H15" s="21" t="n">
        <x:f>'Assumptions'!C63</x:f>
        <x:v>0</x:v>
      </x:c>
      <x:c r="I15" s="21" t="n">
        <x:f>'Assumptions'!C64</x:f>
        <x:v>0</x:v>
      </x:c>
      <x:c r="J15" s="21" t="n">
        <x:f>'Assumptions'!C65</x:f>
        <x:v>0.1</x:v>
      </x:c>
      <x:c r="K15" s="21" t="n">
        <x:f>'Assumptions'!C66</x:f>
        <x:v>0.2</x:v>
      </x:c>
      <x:c r="L15" s="21" t="n">
        <x:f>'Assumptions'!C67</x:f>
        <x:v>0.15</x:v>
      </x:c>
      <x:c r="M15" s="21" t="n">
        <x:f>'Assumptions'!C68</x:f>
        <x:v>0.1</x:v>
      </x:c>
      <x:c r="N15" s="21" t="n">
        <x:f>'Assumptions'!C69</x:f>
        <x:v>0</x:v>
      </x:c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2"/>
      <x:c r="B17" s="2" t="str">
        <x:v>15% depends on Apple eligibility/tenure or Play recurring billing. EU 26% and alternatives use the announced October 1 schedule.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3" customHeight="1">
      <x:c r="A18" s="2"/>
      <x:c r="B18" s="2" t="str">
        <x:v>US iOS link column starts at a 0% platform-fee sensitivity. Change Assumptions C21; approval requires a fresh terms check.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3" customHeight="1">
      <x:c r="A19" s="2"/>
      <x:c r="B19" s="2" t="str">
        <x:v>Annual proceeds cover twelve months of service. Divide by twelve for an equivalent month; do not treat that as cash timing.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3" customHeight="1">
      <x:c r="A21" s="2"/>
      <x:c r="B21" s="20" t="str">
        <x:v>Payment calculation detail</x:v>
      </x:c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  <x:c r="N21" s="2"/>
    </x:row>
    <x:row r="22" ht="44" customHeight="1">
      <x:c r="A22" s="2"/>
      <x:c r="B22" s="8" t="str">
        <x:v>Catalog item</x:v>
      </x:c>
      <x:c r="C22" s="8" t="str">
        <x:v>Channel</x:v>
      </x:c>
      <x:c r="D22" s="8" t="str">
        <x:v>Gross charged</x:v>
      </x:c>
      <x:c r="E22" s="8" t="str">
        <x:v>Gross refund</x:v>
      </x:c>
      <x:c r="F22" s="8" t="str">
        <x:v>Net tax</x:v>
      </x:c>
      <x:c r="G22" s="8" t="str">
        <x:v>Retained sales ex tax</x:v>
      </x:c>
      <x:c r="H22" s="8" t="str">
        <x:v>Store fee</x:v>
      </x:c>
      <x:c r="I22" s="8" t="str">
        <x:v>PSP incl fixed</x:v>
      </x:c>
      <x:c r="J22" s="8" t="str">
        <x:v>Billing fee</x:v>
      </x:c>
      <x:c r="K22" s="8" t="str">
        <x:v>Tax Basic fee</x:v>
      </x:c>
      <x:c r="L22" s="8" t="str">
        <x:v>Extra FX</x:v>
      </x:c>
      <x:c r="M22" s="8" t="str">
        <x:v>Proceeds</x:v>
      </x:c>
      <x:c r="N22" s="2"/>
    </x:row>
    <x:row r="23" ht="34" customHeight="1">
      <x:c r="A23" s="2"/>
      <x:c r="B23" s="30" t="str">
        <x:f>'Assumptions'!B49</x:f>
        <x:v>Basic monthly</x:v>
      </x:c>
      <x:c r="C23" s="30" t="str">
        <x:f>'Assumptions'!B60</x:f>
        <x:v>Native reduced / Play</x:v>
      </x:c>
      <x:c r="D23" s="31" t="n">
        <x:f>IF('Assumptions'!$C$7=1,'Assumptions'!$D$49,'Assumptions'!$D$49*(1+'Assumptions'!$C$6))</x:f>
        <x:v>3</x:v>
      </x:c>
      <x:c r="E23" s="31" t="n">
        <x:f>D23*'Assumptions'!$C$8</x:f>
        <x:v>0</x:v>
      </x:c>
      <x:c r="F23" s="31" t="n">
        <x:f>(D23-E23)*'Assumptions'!$C$6/(1+'Assumptions'!$C$6)</x:f>
        <x:v>0.6</x:v>
      </x:c>
      <x:c r="G23" s="22" t="n">
        <x:f>D23-E23-F23</x:f>
        <x:v>2.4</x:v>
      </x:c>
      <x:c r="H23" s="31" t="n">
        <x:f>D23/(1+'Assumptions'!$C$6)*'Assumptions'!$C$60*(1-'Assumptions'!$C$8*'Assumptions'!$I$60)</x:f>
        <x:v>0.36</x:v>
      </x:c>
      <x:c r="I23" s="31" t="n">
        <x:f>(D23*'Assumptions'!$D$60+'Assumptions'!$E$60)*(1-'Assumptions'!$C$8*'Assumptions'!$J$60)</x:f>
        <x:v>0</x:v>
      </x:c>
      <x:c r="J23" s="31" t="n">
        <x:f>D23*'Assumptions'!$F$60*(1-'Assumptions'!$C$8*'Assumptions'!$K$60)</x:f>
        <x:v>0</x:v>
      </x:c>
      <x:c r="K23" s="31" t="n">
        <x:f>D23*'Assumptions'!$G$60*(1-'Assumptions'!$C$8*'Assumptions'!$L$60)</x:f>
        <x:v>0</x:v>
      </x:c>
      <x:c r="L23" s="31" t="n">
        <x:f>D23*'Assumptions'!$H$60*(1-'Assumptions'!$C$8*'Assumptions'!$J$60)</x:f>
        <x:v>0</x:v>
      </x:c>
      <x:c r="M23" s="34" t="n">
        <x:f>G23-SUM(H23:L23)</x:f>
        <x:v>2.04</x:v>
      </x:c>
      <x:c r="N23" s="2"/>
    </x:row>
    <x:row r="24" ht="34" customHeight="1">
      <x:c r="A24" s="2"/>
      <x:c r="B24" s="30" t="str">
        <x:f>'Assumptions'!B49</x:f>
        <x:v>Basic monthly</x:v>
      </x:c>
      <x:c r="C24" s="30" t="str">
        <x:f>'Assumptions'!B61</x:f>
        <x:v>Apple EU native standard</x:v>
      </x:c>
      <x:c r="D24" s="31" t="n">
        <x:f>IF('Assumptions'!$C$7=1,'Assumptions'!$D$49,'Assumptions'!$D$49*(1+'Assumptions'!$C$6))</x:f>
        <x:v>3</x:v>
      </x:c>
      <x:c r="E24" s="31" t="n">
        <x:f>D24*'Assumptions'!$C$8</x:f>
        <x:v>0</x:v>
      </x:c>
      <x:c r="F24" s="31" t="n">
        <x:f>(D24-E24)*'Assumptions'!$C$6/(1+'Assumptions'!$C$6)</x:f>
        <x:v>0.6</x:v>
      </x:c>
      <x:c r="G24" s="22" t="n">
        <x:f>D24-E24-F24</x:f>
        <x:v>2.4</x:v>
      </x:c>
      <x:c r="H24" s="31" t="n">
        <x:f>D24/(1+'Assumptions'!$C$6)*'Assumptions'!$C$61*(1-'Assumptions'!$C$8*'Assumptions'!$I$61)</x:f>
        <x:v>0.624</x:v>
      </x:c>
      <x:c r="I24" s="31" t="n">
        <x:f>(D24*'Assumptions'!$D$61+'Assumptions'!$E$61)*(1-'Assumptions'!$C$8*'Assumptions'!$J$61)</x:f>
        <x:v>0</x:v>
      </x:c>
      <x:c r="J24" s="31" t="n">
        <x:f>D24*'Assumptions'!$F$61*(1-'Assumptions'!$C$8*'Assumptions'!$K$61)</x:f>
        <x:v>0</x:v>
      </x:c>
      <x:c r="K24" s="31" t="n">
        <x:f>D24*'Assumptions'!$G$61*(1-'Assumptions'!$C$8*'Assumptions'!$L$61)</x:f>
        <x:v>0</x:v>
      </x:c>
      <x:c r="L24" s="31" t="n">
        <x:f>D24*'Assumptions'!$H$61*(1-'Assumptions'!$C$8*'Assumptions'!$J$61)</x:f>
        <x:v>0</x:v>
      </x:c>
      <x:c r="M24" s="34" t="n">
        <x:f>G24-SUM(H24:L24)</x:f>
        <x:v>1.7759999999999998</x:v>
      </x:c>
      <x:c r="N24" s="2"/>
    </x:row>
    <x:row r="25" ht="34" customHeight="1">
      <x:c r="A25" s="2"/>
      <x:c r="B25" s="30" t="str">
        <x:f>'Assumptions'!B49</x:f>
        <x:v>Basic monthly</x:v>
      </x:c>
      <x:c r="C25" s="30" t="str">
        <x:f>'Assumptions'!B62</x:f>
        <x:v>Apple ordinary standard</x:v>
      </x:c>
      <x:c r="D25" s="31" t="n">
        <x:f>IF('Assumptions'!$C$7=1,'Assumptions'!$D$49,'Assumptions'!$D$49*(1+'Assumptions'!$C$6))</x:f>
        <x:v>3</x:v>
      </x:c>
      <x:c r="E25" s="31" t="n">
        <x:f>D25*'Assumptions'!$C$8</x:f>
        <x:v>0</x:v>
      </x:c>
      <x:c r="F25" s="31" t="n">
        <x:f>(D25-E25)*'Assumptions'!$C$6/(1+'Assumptions'!$C$6)</x:f>
        <x:v>0.6</x:v>
      </x:c>
      <x:c r="G25" s="22" t="n">
        <x:f>D25-E25-F25</x:f>
        <x:v>2.4</x:v>
      </x:c>
      <x:c r="H25" s="31" t="n">
        <x:f>D25/(1+'Assumptions'!$C$6)*'Assumptions'!$C$62*(1-'Assumptions'!$C$8*'Assumptions'!$I$62)</x:f>
        <x:v>0.72</x:v>
      </x:c>
      <x:c r="I25" s="31" t="n">
        <x:f>(D25*'Assumptions'!$D$62+'Assumptions'!$E$62)*(1-'Assumptions'!$C$8*'Assumptions'!$J$62)</x:f>
        <x:v>0</x:v>
      </x:c>
      <x:c r="J25" s="31" t="n">
        <x:f>D25*'Assumptions'!$F$62*(1-'Assumptions'!$C$8*'Assumptions'!$K$62)</x:f>
        <x:v>0</x:v>
      </x:c>
      <x:c r="K25" s="31" t="n">
        <x:f>D25*'Assumptions'!$G$62*(1-'Assumptions'!$C$8*'Assumptions'!$L$62)</x:f>
        <x:v>0</x:v>
      </x:c>
      <x:c r="L25" s="31" t="n">
        <x:f>D25*'Assumptions'!$H$62*(1-'Assumptions'!$C$8*'Assumptions'!$J$62)</x:f>
        <x:v>0</x:v>
      </x:c>
      <x:c r="M25" s="34" t="n">
        <x:f>G25-SUM(H25:L25)</x:f>
        <x:v>1.68</x:v>
      </x:c>
      <x:c r="N25" s="2"/>
    </x:row>
    <x:row r="26" ht="34" customHeight="1">
      <x:c r="A26" s="2"/>
      <x:c r="B26" s="30" t="str">
        <x:f>'Assumptions'!B49</x:f>
        <x:v>Basic monthly</x:v>
      </x:c>
      <x:c r="C26" s="30" t="str">
        <x:f>'Assumptions'!B63</x:f>
        <x:v>Web Stripe EEA card</x:v>
      </x:c>
      <x:c r="D26" s="31" t="n">
        <x:f>IF('Assumptions'!$C$7=1,'Assumptions'!$D$49,'Assumptions'!$D$49*(1+'Assumptions'!$C$6))</x:f>
        <x:v>3</x:v>
      </x:c>
      <x:c r="E26" s="31" t="n">
        <x:f>D26*'Assumptions'!$C$8</x:f>
        <x:v>0</x:v>
      </x:c>
      <x:c r="F26" s="31" t="n">
        <x:f>(D26-E26)*'Assumptions'!$C$6/(1+'Assumptions'!$C$6)</x:f>
        <x:v>0.6</x:v>
      </x:c>
      <x:c r="G26" s="22" t="n">
        <x:f>D26-E26-F26</x:f>
        <x:v>2.4</x:v>
      </x:c>
      <x:c r="H26" s="31" t="n">
        <x:f>D26/(1+'Assumptions'!$C$6)*'Assumptions'!$C$63*(1-'Assumptions'!$C$8*'Assumptions'!$I$63)</x:f>
        <x:v>0</x:v>
      </x:c>
      <x:c r="I26" s="31" t="n">
        <x:f>(D26*'Assumptions'!$D$63+'Assumptions'!$E$63)*(1-'Assumptions'!$C$8*'Assumptions'!$J$63)</x:f>
        <x:v>0.295</x:v>
      </x:c>
      <x:c r="J26" s="31" t="n">
        <x:f>D26*'Assumptions'!$F$63*(1-'Assumptions'!$C$8*'Assumptions'!$K$63)</x:f>
        <x:v>0.021</x:v>
      </x:c>
      <x:c r="K26" s="31" t="n">
        <x:f>D26*'Assumptions'!$G$63*(1-'Assumptions'!$C$8*'Assumptions'!$L$63)</x:f>
        <x:v>0.015</x:v>
      </x:c>
      <x:c r="L26" s="31" t="n">
        <x:f>D26*'Assumptions'!$H$63*(1-'Assumptions'!$C$8*'Assumptions'!$J$63)</x:f>
        <x:v>0</x:v>
      </x:c>
      <x:c r="M26" s="34" t="n">
        <x:f>G26-SUM(H26:L26)</x:f>
        <x:v>2.069</x:v>
      </x:c>
      <x:c r="N26" s="2"/>
    </x:row>
    <x:row r="27" ht="34" customHeight="1">
      <x:c r="A27" s="2"/>
      <x:c r="B27" s="30" t="str">
        <x:f>'Assumptions'!B49</x:f>
        <x:v>Basic monthly</x:v>
      </x:c>
      <x:c r="C27" s="30" t="str">
        <x:f>'Assumptions'!B64</x:f>
        <x:v>Web Stripe international</x:v>
      </x:c>
      <x:c r="D27" s="31" t="n">
        <x:f>IF('Assumptions'!$C$7=1,'Assumptions'!$D$49,'Assumptions'!$D$49*(1+'Assumptions'!$C$6))</x:f>
        <x:v>3</x:v>
      </x:c>
      <x:c r="E27" s="31" t="n">
        <x:f>D27*'Assumptions'!$C$8</x:f>
        <x:v>0</x:v>
      </x:c>
      <x:c r="F27" s="31" t="n">
        <x:f>(D27-E27)*'Assumptions'!$C$6/(1+'Assumptions'!$C$6)</x:f>
        <x:v>0.6</x:v>
      </x:c>
      <x:c r="G27" s="22" t="n">
        <x:f>D27-E27-F27</x:f>
        <x:v>2.4</x:v>
      </x:c>
      <x:c r="H27" s="31" t="n">
        <x:f>D27/(1+'Assumptions'!$C$6)*'Assumptions'!$C$64*(1-'Assumptions'!$C$8*'Assumptions'!$I$64)</x:f>
        <x:v>0</x:v>
      </x:c>
      <x:c r="I27" s="31" t="n">
        <x:f>(D27*'Assumptions'!$D$64+'Assumptions'!$E$64)*(1-'Assumptions'!$C$8*'Assumptions'!$J$64)</x:f>
        <x:v>0.34450000000000003</x:v>
      </x:c>
      <x:c r="J27" s="31" t="n">
        <x:f>D27*'Assumptions'!$F$64*(1-'Assumptions'!$C$8*'Assumptions'!$K$64)</x:f>
        <x:v>0.021</x:v>
      </x:c>
      <x:c r="K27" s="31" t="n">
        <x:f>D27*'Assumptions'!$G$64*(1-'Assumptions'!$C$8*'Assumptions'!$L$64)</x:f>
        <x:v>0.015</x:v>
      </x:c>
      <x:c r="L27" s="31" t="n">
        <x:f>D27*'Assumptions'!$H$64*(1-'Assumptions'!$C$8*'Assumptions'!$J$64)</x:f>
        <x:v>0</x:v>
      </x:c>
      <x:c r="M27" s="34" t="n">
        <x:f>G27-SUM(H27:L27)</x:f>
        <x:v>2.0195</x:v>
      </x:c>
      <x:c r="N27" s="2"/>
    </x:row>
    <x:row r="28" ht="34" customHeight="1">
      <x:c r="A28" s="2"/>
      <x:c r="B28" s="30" t="str">
        <x:f>'Assumptions'!B49</x:f>
        <x:v>Basic monthly</x:v>
      </x:c>
      <x:c r="C28" s="30" t="str">
        <x:f>'Assumptions'!B65</x:f>
        <x:v>Alternative reduced EEA</x:v>
      </x:c>
      <x:c r="D28" s="31" t="n">
        <x:f>IF('Assumptions'!$C$7=1,'Assumptions'!$D$49,'Assumptions'!$D$49*(1+'Assumptions'!$C$6))</x:f>
        <x:v>3</x:v>
      </x:c>
      <x:c r="E28" s="31" t="n">
        <x:f>D28*'Assumptions'!$C$8</x:f>
        <x:v>0</x:v>
      </x:c>
      <x:c r="F28" s="31" t="n">
        <x:f>(D28-E28)*'Assumptions'!$C$6/(1+'Assumptions'!$C$6)</x:f>
        <x:v>0.6</x:v>
      </x:c>
      <x:c r="G28" s="22" t="n">
        <x:f>D28-E28-F28</x:f>
        <x:v>2.4</x:v>
      </x:c>
      <x:c r="H28" s="31" t="n">
        <x:f>D28/(1+'Assumptions'!$C$6)*'Assumptions'!$C$65*(1-'Assumptions'!$C$8*'Assumptions'!$I$65)</x:f>
        <x:v>0.24</x:v>
      </x:c>
      <x:c r="I28" s="31" t="n">
        <x:f>(D28*'Assumptions'!$D$65+'Assumptions'!$E$65)*(1-'Assumptions'!$C$8*'Assumptions'!$J$65)</x:f>
        <x:v>0.295</x:v>
      </x:c>
      <x:c r="J28" s="31" t="n">
        <x:f>D28*'Assumptions'!$F$65*(1-'Assumptions'!$C$8*'Assumptions'!$K$65)</x:f>
        <x:v>0.021</x:v>
      </x:c>
      <x:c r="K28" s="31" t="n">
        <x:f>D28*'Assumptions'!$G$65*(1-'Assumptions'!$C$8*'Assumptions'!$L$65)</x:f>
        <x:v>0.015</x:v>
      </x:c>
      <x:c r="L28" s="31" t="n">
        <x:f>D28*'Assumptions'!$H$65*(1-'Assumptions'!$C$8*'Assumptions'!$J$65)</x:f>
        <x:v>0</x:v>
      </x:c>
      <x:c r="M28" s="34" t="n">
        <x:f>G28-SUM(H28:L28)</x:f>
        <x:v>1.829</x:v>
      </x:c>
      <x:c r="N28" s="2"/>
    </x:row>
    <x:row r="29" ht="34" customHeight="1">
      <x:c r="A29" s="2"/>
      <x:c r="B29" s="30" t="str">
        <x:f>'Assumptions'!B49</x:f>
        <x:v>Basic monthly</x:v>
      </x:c>
      <x:c r="C29" s="30" t="str">
        <x:f>'Assumptions'!B66</x:f>
        <x:v>Apple EU in-app standard</x:v>
      </x:c>
      <x:c r="D29" s="31" t="n">
        <x:f>IF('Assumptions'!$C$7=1,'Assumptions'!$D$49,'Assumptions'!$D$49*(1+'Assumptions'!$C$6))</x:f>
        <x:v>3</x:v>
      </x:c>
      <x:c r="E29" s="31" t="n">
        <x:f>D29*'Assumptions'!$C$8</x:f>
        <x:v>0</x:v>
      </x:c>
      <x:c r="F29" s="31" t="n">
        <x:f>(D29-E29)*'Assumptions'!$C$6/(1+'Assumptions'!$C$6)</x:f>
        <x:v>0.6</x:v>
      </x:c>
      <x:c r="G29" s="22" t="n">
        <x:f>D29-E29-F29</x:f>
        <x:v>2.4</x:v>
      </x:c>
      <x:c r="H29" s="31" t="n">
        <x:f>D29/(1+'Assumptions'!$C$6)*'Assumptions'!$C$66*(1-'Assumptions'!$C$8*'Assumptions'!$I$66)</x:f>
        <x:v>0.48</x:v>
      </x:c>
      <x:c r="I29" s="31" t="n">
        <x:f>(D29*'Assumptions'!$D$66+'Assumptions'!$E$66)*(1-'Assumptions'!$C$8*'Assumptions'!$J$66)</x:f>
        <x:v>0.295</x:v>
      </x:c>
      <x:c r="J29" s="31" t="n">
        <x:f>D29*'Assumptions'!$F$66*(1-'Assumptions'!$C$8*'Assumptions'!$K$66)</x:f>
        <x:v>0.021</x:v>
      </x:c>
      <x:c r="K29" s="31" t="n">
        <x:f>D29*'Assumptions'!$G$66*(1-'Assumptions'!$C$8*'Assumptions'!$L$66)</x:f>
        <x:v>0.015</x:v>
      </x:c>
      <x:c r="L29" s="31" t="n">
        <x:f>D29*'Assumptions'!$H$66*(1-'Assumptions'!$C$8*'Assumptions'!$J$66)</x:f>
        <x:v>0</x:v>
      </x:c>
      <x:c r="M29" s="34" t="n">
        <x:f>G29-SUM(H29:L29)</x:f>
        <x:v>1.589</x:v>
      </x:c>
      <x:c r="N29" s="2"/>
    </x:row>
    <x:row r="30" ht="34" customHeight="1">
      <x:c r="A30" s="2"/>
      <x:c r="B30" s="30" t="str">
        <x:f>'Assumptions'!B49</x:f>
        <x:v>Basic monthly</x:v>
      </x:c>
      <x:c r="C30" s="30" t="str">
        <x:f>'Assumptions'!B67</x:f>
        <x:v>Apple EU link standard</x:v>
      </x:c>
      <x:c r="D30" s="31" t="n">
        <x:f>IF('Assumptions'!$C$7=1,'Assumptions'!$D$49,'Assumptions'!$D$49*(1+'Assumptions'!$C$6))</x:f>
        <x:v>3</x:v>
      </x:c>
      <x:c r="E30" s="31" t="n">
        <x:f>D30*'Assumptions'!$C$8</x:f>
        <x:v>0</x:v>
      </x:c>
      <x:c r="F30" s="31" t="n">
        <x:f>(D30-E30)*'Assumptions'!$C$6/(1+'Assumptions'!$C$6)</x:f>
        <x:v>0.6</x:v>
      </x:c>
      <x:c r="G30" s="22" t="n">
        <x:f>D30-E30-F30</x:f>
        <x:v>2.4</x:v>
      </x:c>
      <x:c r="H30" s="31" t="n">
        <x:f>D30/(1+'Assumptions'!$C$6)*'Assumptions'!$C$67*(1-'Assumptions'!$C$8*'Assumptions'!$I$67)</x:f>
        <x:v>0.36</x:v>
      </x:c>
      <x:c r="I30" s="31" t="n">
        <x:f>(D30*'Assumptions'!$D$67+'Assumptions'!$E$67)*(1-'Assumptions'!$C$8*'Assumptions'!$J$67)</x:f>
        <x:v>0.295</x:v>
      </x:c>
      <x:c r="J30" s="31" t="n">
        <x:f>D30*'Assumptions'!$F$67*(1-'Assumptions'!$C$8*'Assumptions'!$K$67)</x:f>
        <x:v>0.021</x:v>
      </x:c>
      <x:c r="K30" s="31" t="n">
        <x:f>D30*'Assumptions'!$G$67*(1-'Assumptions'!$C$8*'Assumptions'!$L$67)</x:f>
        <x:v>0.015</x:v>
      </x:c>
      <x:c r="L30" s="31" t="n">
        <x:f>D30*'Assumptions'!$H$67*(1-'Assumptions'!$C$8*'Assumptions'!$J$67)</x:f>
        <x:v>0</x:v>
      </x:c>
      <x:c r="M30" s="34" t="n">
        <x:f>G30-SUM(H30:L30)</x:f>
        <x:v>1.7089999999999999</x:v>
      </x:c>
      <x:c r="N30" s="2"/>
    </x:row>
    <x:row r="31" ht="34" customHeight="1">
      <x:c r="A31" s="2"/>
      <x:c r="B31" s="30" t="str">
        <x:f>'Assumptions'!B49</x:f>
        <x:v>Basic monthly</x:v>
      </x:c>
      <x:c r="C31" s="30" t="str">
        <x:f>'Assumptions'!B68</x:f>
        <x:v>Play US alternative</x:v>
      </x:c>
      <x:c r="D31" s="31" t="n">
        <x:f>IF('Assumptions'!$C$7=1,'Assumptions'!$D$49,'Assumptions'!$D$49*(1+'Assumptions'!$C$6))</x:f>
        <x:v>3</x:v>
      </x:c>
      <x:c r="E31" s="31" t="n">
        <x:f>D31*'Assumptions'!$C$8</x:f>
        <x:v>0</x:v>
      </x:c>
      <x:c r="F31" s="31" t="n">
        <x:f>(D31-E31)*'Assumptions'!$C$6/(1+'Assumptions'!$C$6)</x:f>
        <x:v>0.6</x:v>
      </x:c>
      <x:c r="G31" s="22" t="n">
        <x:f>D31-E31-F31</x:f>
        <x:v>2.4</x:v>
      </x:c>
      <x:c r="H31" s="31" t="n">
        <x:f>D31/(1+'Assumptions'!$C$6)*'Assumptions'!$C$68*(1-'Assumptions'!$C$8*'Assumptions'!$I$68)</x:f>
        <x:v>0.24</x:v>
      </x:c>
      <x:c r="I31" s="31" t="n">
        <x:f>(D31*'Assumptions'!$D$68+'Assumptions'!$E$68)*(1-'Assumptions'!$C$8*'Assumptions'!$J$68)</x:f>
        <x:v>0.34450000000000003</x:v>
      </x:c>
      <x:c r="J31" s="31" t="n">
        <x:f>D31*'Assumptions'!$F$68*(1-'Assumptions'!$C$8*'Assumptions'!$K$68)</x:f>
        <x:v>0.021</x:v>
      </x:c>
      <x:c r="K31" s="31" t="n">
        <x:f>D31*'Assumptions'!$G$68*(1-'Assumptions'!$C$8*'Assumptions'!$L$68)</x:f>
        <x:v>0.015</x:v>
      </x:c>
      <x:c r="L31" s="31" t="n">
        <x:f>D31*'Assumptions'!$H$68*(1-'Assumptions'!$C$8*'Assumptions'!$J$68)</x:f>
        <x:v>0</x:v>
      </x:c>
      <x:c r="M31" s="34" t="n">
        <x:f>G31-SUM(H31:L31)</x:f>
        <x:v>1.7794999999999999</x:v>
      </x:c>
      <x:c r="N31" s="2"/>
    </x:row>
    <x:row r="32" ht="34" customHeight="1">
      <x:c r="A32" s="2"/>
      <x:c r="B32" s="30" t="str">
        <x:f>'Assumptions'!B49</x:f>
        <x:v>Basic monthly</x:v>
      </x:c>
      <x:c r="C32" s="30" t="str">
        <x:f>'Assumptions'!B69</x:f>
        <x:v>US iOS link sensitivity</x:v>
      </x:c>
      <x:c r="D32" s="31" t="n">
        <x:f>IF('Assumptions'!$C$7=1,'Assumptions'!$D$49,'Assumptions'!$D$49*(1+'Assumptions'!$C$6))</x:f>
        <x:v>3</x:v>
      </x:c>
      <x:c r="E32" s="31" t="n">
        <x:f>D32*'Assumptions'!$C$8</x:f>
        <x:v>0</x:v>
      </x:c>
      <x:c r="F32" s="31" t="n">
        <x:f>(D32-E32)*'Assumptions'!$C$6/(1+'Assumptions'!$C$6)</x:f>
        <x:v>0.6</x:v>
      </x:c>
      <x:c r="G32" s="22" t="n">
        <x:f>D32-E32-F32</x:f>
        <x:v>2.4</x:v>
      </x:c>
      <x:c r="H32" s="31" t="n">
        <x:f>D32/(1+'Assumptions'!$C$6)*'Assumptions'!$C$69*(1-'Assumptions'!$C$8*'Assumptions'!$I$69)</x:f>
        <x:v>0</x:v>
      </x:c>
      <x:c r="I32" s="31" t="n">
        <x:f>(D32*'Assumptions'!$D$69+'Assumptions'!$E$69)*(1-'Assumptions'!$C$8*'Assumptions'!$J$69)</x:f>
        <x:v>0.34450000000000003</x:v>
      </x:c>
      <x:c r="J32" s="31" t="n">
        <x:f>D32*'Assumptions'!$F$69*(1-'Assumptions'!$C$8*'Assumptions'!$K$69)</x:f>
        <x:v>0.021</x:v>
      </x:c>
      <x:c r="K32" s="31" t="n">
        <x:f>D32*'Assumptions'!$G$69*(1-'Assumptions'!$C$8*'Assumptions'!$L$69)</x:f>
        <x:v>0.015</x:v>
      </x:c>
      <x:c r="L32" s="31" t="n">
        <x:f>D32*'Assumptions'!$H$69*(1-'Assumptions'!$C$8*'Assumptions'!$J$69)</x:f>
        <x:v>0</x:v>
      </x:c>
      <x:c r="M32" s="34" t="n">
        <x:f>G32-SUM(H32:L32)</x:f>
        <x:v>2.0195</x:v>
      </x:c>
      <x:c r="N32" s="2"/>
    </x:row>
    <x:row r="33" ht="34" customHeight="1">
      <x:c r="A33" s="2"/>
      <x:c r="B33" s="32" t="str">
        <x:f>'Assumptions'!B50</x:f>
        <x:v>Basic annual</x:v>
      </x:c>
      <x:c r="C33" s="32" t="str">
        <x:f>'Assumptions'!B60</x:f>
        <x:v>Native reduced / Play</x:v>
      </x:c>
      <x:c r="D33" s="33" t="n">
        <x:f>IF('Assumptions'!$C$7=1,'Assumptions'!$D$50,'Assumptions'!$D$50*(1+'Assumptions'!$C$6))</x:f>
        <x:v>30</x:v>
      </x:c>
      <x:c r="E33" s="33" t="n">
        <x:f>D33*'Assumptions'!$C$8</x:f>
        <x:v>0</x:v>
      </x:c>
      <x:c r="F33" s="33" t="n">
        <x:f>(D33-E33)*'Assumptions'!$C$6/(1+'Assumptions'!$C$6)</x:f>
        <x:v>6</x:v>
      </x:c>
      <x:c r="G33" s="27" t="n">
        <x:f>D33-E33-F33</x:f>
        <x:v>24</x:v>
      </x:c>
      <x:c r="H33" s="33" t="n">
        <x:f>D33/(1+'Assumptions'!$C$6)*'Assumptions'!$C$60*(1-'Assumptions'!$C$8*'Assumptions'!$I$60)</x:f>
        <x:v>3.5999999999999996</x:v>
      </x:c>
      <x:c r="I33" s="33" t="n">
        <x:f>(D33*'Assumptions'!$D$60+'Assumptions'!$E$60)*(1-'Assumptions'!$C$8*'Assumptions'!$J$60)</x:f>
        <x:v>0</x:v>
      </x:c>
      <x:c r="J33" s="33" t="n">
        <x:f>D33*'Assumptions'!$F$60*(1-'Assumptions'!$C$8*'Assumptions'!$K$60)</x:f>
        <x:v>0</x:v>
      </x:c>
      <x:c r="K33" s="33" t="n">
        <x:f>D33*'Assumptions'!$G$60*(1-'Assumptions'!$C$8*'Assumptions'!$L$60)</x:f>
        <x:v>0</x:v>
      </x:c>
      <x:c r="L33" s="33" t="n">
        <x:f>D33*'Assumptions'!$H$60*(1-'Assumptions'!$C$8*'Assumptions'!$J$60)</x:f>
        <x:v>0</x:v>
      </x:c>
      <x:c r="M33" s="35" t="n">
        <x:f>G33-SUM(H33:L33)</x:f>
        <x:v>20.4</x:v>
      </x:c>
      <x:c r="N33" s="2"/>
    </x:row>
    <x:row r="34" ht="34" customHeight="1">
      <x:c r="A34" s="2"/>
      <x:c r="B34" s="32" t="str">
        <x:f>'Assumptions'!B50</x:f>
        <x:v>Basic annual</x:v>
      </x:c>
      <x:c r="C34" s="32" t="str">
        <x:f>'Assumptions'!B61</x:f>
        <x:v>Apple EU native standard</x:v>
      </x:c>
      <x:c r="D34" s="33" t="n">
        <x:f>IF('Assumptions'!$C$7=1,'Assumptions'!$D$50,'Assumptions'!$D$50*(1+'Assumptions'!$C$6))</x:f>
        <x:v>30</x:v>
      </x:c>
      <x:c r="E34" s="33" t="n">
        <x:f>D34*'Assumptions'!$C$8</x:f>
        <x:v>0</x:v>
      </x:c>
      <x:c r="F34" s="33" t="n">
        <x:f>(D34-E34)*'Assumptions'!$C$6/(1+'Assumptions'!$C$6)</x:f>
        <x:v>6</x:v>
      </x:c>
      <x:c r="G34" s="27" t="n">
        <x:f>D34-E34-F34</x:f>
        <x:v>24</x:v>
      </x:c>
      <x:c r="H34" s="33" t="n">
        <x:f>D34/(1+'Assumptions'!$C$6)*'Assumptions'!$C$61*(1-'Assumptions'!$C$8*'Assumptions'!$I$61)</x:f>
        <x:v>6.24</x:v>
      </x:c>
      <x:c r="I34" s="33" t="n">
        <x:f>(D34*'Assumptions'!$D$61+'Assumptions'!$E$61)*(1-'Assumptions'!$C$8*'Assumptions'!$J$61)</x:f>
        <x:v>0</x:v>
      </x:c>
      <x:c r="J34" s="33" t="n">
        <x:f>D34*'Assumptions'!$F$61*(1-'Assumptions'!$C$8*'Assumptions'!$K$61)</x:f>
        <x:v>0</x:v>
      </x:c>
      <x:c r="K34" s="33" t="n">
        <x:f>D34*'Assumptions'!$G$61*(1-'Assumptions'!$C$8*'Assumptions'!$L$61)</x:f>
        <x:v>0</x:v>
      </x:c>
      <x:c r="L34" s="33" t="n">
        <x:f>D34*'Assumptions'!$H$61*(1-'Assumptions'!$C$8*'Assumptions'!$J$61)</x:f>
        <x:v>0</x:v>
      </x:c>
      <x:c r="M34" s="35" t="n">
        <x:f>G34-SUM(H34:L34)</x:f>
        <x:v>17.759999999999998</x:v>
      </x:c>
      <x:c r="N34" s="2"/>
    </x:row>
    <x:row r="35" ht="34" customHeight="1">
      <x:c r="A35" s="2"/>
      <x:c r="B35" s="32" t="str">
        <x:f>'Assumptions'!B50</x:f>
        <x:v>Basic annual</x:v>
      </x:c>
      <x:c r="C35" s="32" t="str">
        <x:f>'Assumptions'!B62</x:f>
        <x:v>Apple ordinary standard</x:v>
      </x:c>
      <x:c r="D35" s="33" t="n">
        <x:f>IF('Assumptions'!$C$7=1,'Assumptions'!$D$50,'Assumptions'!$D$50*(1+'Assumptions'!$C$6))</x:f>
        <x:v>30</x:v>
      </x:c>
      <x:c r="E35" s="33" t="n">
        <x:f>D35*'Assumptions'!$C$8</x:f>
        <x:v>0</x:v>
      </x:c>
      <x:c r="F35" s="33" t="n">
        <x:f>(D35-E35)*'Assumptions'!$C$6/(1+'Assumptions'!$C$6)</x:f>
        <x:v>6</x:v>
      </x:c>
      <x:c r="G35" s="27" t="n">
        <x:f>D35-E35-F35</x:f>
        <x:v>24</x:v>
      </x:c>
      <x:c r="H35" s="33" t="n">
        <x:f>D35/(1+'Assumptions'!$C$6)*'Assumptions'!$C$62*(1-'Assumptions'!$C$8*'Assumptions'!$I$62)</x:f>
        <x:v>7.199999999999999</x:v>
      </x:c>
      <x:c r="I35" s="33" t="n">
        <x:f>(D35*'Assumptions'!$D$62+'Assumptions'!$E$62)*(1-'Assumptions'!$C$8*'Assumptions'!$J$62)</x:f>
        <x:v>0</x:v>
      </x:c>
      <x:c r="J35" s="33" t="n">
        <x:f>D35*'Assumptions'!$F$62*(1-'Assumptions'!$C$8*'Assumptions'!$K$62)</x:f>
        <x:v>0</x:v>
      </x:c>
      <x:c r="K35" s="33" t="n">
        <x:f>D35*'Assumptions'!$G$62*(1-'Assumptions'!$C$8*'Assumptions'!$L$62)</x:f>
        <x:v>0</x:v>
      </x:c>
      <x:c r="L35" s="33" t="n">
        <x:f>D35*'Assumptions'!$H$62*(1-'Assumptions'!$C$8*'Assumptions'!$J$62)</x:f>
        <x:v>0</x:v>
      </x:c>
      <x:c r="M35" s="35" t="n">
        <x:f>G35-SUM(H35:L35)</x:f>
        <x:v>16.8</x:v>
      </x:c>
      <x:c r="N35" s="2"/>
    </x:row>
    <x:row r="36" ht="34" customHeight="1">
      <x:c r="A36" s="2"/>
      <x:c r="B36" s="32" t="str">
        <x:f>'Assumptions'!B50</x:f>
        <x:v>Basic annual</x:v>
      </x:c>
      <x:c r="C36" s="32" t="str">
        <x:f>'Assumptions'!B63</x:f>
        <x:v>Web Stripe EEA card</x:v>
      </x:c>
      <x:c r="D36" s="33" t="n">
        <x:f>IF('Assumptions'!$C$7=1,'Assumptions'!$D$50,'Assumptions'!$D$50*(1+'Assumptions'!$C$6))</x:f>
        <x:v>30</x:v>
      </x:c>
      <x:c r="E36" s="33" t="n">
        <x:f>D36*'Assumptions'!$C$8</x:f>
        <x:v>0</x:v>
      </x:c>
      <x:c r="F36" s="33" t="n">
        <x:f>(D36-E36)*'Assumptions'!$C$6/(1+'Assumptions'!$C$6)</x:f>
        <x:v>6</x:v>
      </x:c>
      <x:c r="G36" s="27" t="n">
        <x:f>D36-E36-F36</x:f>
        <x:v>24</x:v>
      </x:c>
      <x:c r="H36" s="33" t="n">
        <x:f>D36/(1+'Assumptions'!$C$6)*'Assumptions'!$C$63*(1-'Assumptions'!$C$8*'Assumptions'!$I$63)</x:f>
        <x:v>0</x:v>
      </x:c>
      <x:c r="I36" s="33" t="n">
        <x:f>(D36*'Assumptions'!$D$63+'Assumptions'!$E$63)*(1-'Assumptions'!$C$8*'Assumptions'!$J$63)</x:f>
        <x:v>0.7</x:v>
      </x:c>
      <x:c r="J36" s="33" t="n">
        <x:f>D36*'Assumptions'!$F$63*(1-'Assumptions'!$C$8*'Assumptions'!$K$63)</x:f>
        <x:v>0.21</x:v>
      </x:c>
      <x:c r="K36" s="33" t="n">
        <x:f>D36*'Assumptions'!$G$63*(1-'Assumptions'!$C$8*'Assumptions'!$L$63)</x:f>
        <x:v>0.15</x:v>
      </x:c>
      <x:c r="L36" s="33" t="n">
        <x:f>D36*'Assumptions'!$H$63*(1-'Assumptions'!$C$8*'Assumptions'!$J$63)</x:f>
        <x:v>0</x:v>
      </x:c>
      <x:c r="M36" s="35" t="n">
        <x:f>G36-SUM(H36:L36)</x:f>
        <x:v>22.94</x:v>
      </x:c>
      <x:c r="N36" s="2"/>
    </x:row>
    <x:row r="37" ht="34" customHeight="1">
      <x:c r="A37" s="2"/>
      <x:c r="B37" s="32" t="str">
        <x:f>'Assumptions'!B50</x:f>
        <x:v>Basic annual</x:v>
      </x:c>
      <x:c r="C37" s="32" t="str">
        <x:f>'Assumptions'!B64</x:f>
        <x:v>Web Stripe international</x:v>
      </x:c>
      <x:c r="D37" s="33" t="n">
        <x:f>IF('Assumptions'!$C$7=1,'Assumptions'!$D$50,'Assumptions'!$D$50*(1+'Assumptions'!$C$6))</x:f>
        <x:v>30</x:v>
      </x:c>
      <x:c r="E37" s="33" t="n">
        <x:f>D37*'Assumptions'!$C$8</x:f>
        <x:v>0</x:v>
      </x:c>
      <x:c r="F37" s="33" t="n">
        <x:f>(D37-E37)*'Assumptions'!$C$6/(1+'Assumptions'!$C$6)</x:f>
        <x:v>6</x:v>
      </x:c>
      <x:c r="G37" s="27" t="n">
        <x:f>D37-E37-F37</x:f>
        <x:v>24</x:v>
      </x:c>
      <x:c r="H37" s="33" t="n">
        <x:f>D37/(1+'Assumptions'!$C$6)*'Assumptions'!$C$64*(1-'Assumptions'!$C$8*'Assumptions'!$I$64)</x:f>
        <x:v>0</x:v>
      </x:c>
      <x:c r="I37" s="33" t="n">
        <x:f>(D37*'Assumptions'!$D$64+'Assumptions'!$E$64)*(1-'Assumptions'!$C$8*'Assumptions'!$J$64)</x:f>
        <x:v>1.195</x:v>
      </x:c>
      <x:c r="J37" s="33" t="n">
        <x:f>D37*'Assumptions'!$F$64*(1-'Assumptions'!$C$8*'Assumptions'!$K$64)</x:f>
        <x:v>0.21</x:v>
      </x:c>
      <x:c r="K37" s="33" t="n">
        <x:f>D37*'Assumptions'!$G$64*(1-'Assumptions'!$C$8*'Assumptions'!$L$64)</x:f>
        <x:v>0.15</x:v>
      </x:c>
      <x:c r="L37" s="33" t="n">
        <x:f>D37*'Assumptions'!$H$64*(1-'Assumptions'!$C$8*'Assumptions'!$J$64)</x:f>
        <x:v>0</x:v>
      </x:c>
      <x:c r="M37" s="35" t="n">
        <x:f>G37-SUM(H37:L37)</x:f>
        <x:v>22.445</x:v>
      </x:c>
      <x:c r="N37" s="2"/>
    </x:row>
    <x:row r="38" ht="34" customHeight="1">
      <x:c r="A38" s="2"/>
      <x:c r="B38" s="32" t="str">
        <x:f>'Assumptions'!B50</x:f>
        <x:v>Basic annual</x:v>
      </x:c>
      <x:c r="C38" s="32" t="str">
        <x:f>'Assumptions'!B65</x:f>
        <x:v>Alternative reduced EEA</x:v>
      </x:c>
      <x:c r="D38" s="33" t="n">
        <x:f>IF('Assumptions'!$C$7=1,'Assumptions'!$D$50,'Assumptions'!$D$50*(1+'Assumptions'!$C$6))</x:f>
        <x:v>30</x:v>
      </x:c>
      <x:c r="E38" s="33" t="n">
        <x:f>D38*'Assumptions'!$C$8</x:f>
        <x:v>0</x:v>
      </x:c>
      <x:c r="F38" s="33" t="n">
        <x:f>(D38-E38)*'Assumptions'!$C$6/(1+'Assumptions'!$C$6)</x:f>
        <x:v>6</x:v>
      </x:c>
      <x:c r="G38" s="27" t="n">
        <x:f>D38-E38-F38</x:f>
        <x:v>24</x:v>
      </x:c>
      <x:c r="H38" s="33" t="n">
        <x:f>D38/(1+'Assumptions'!$C$6)*'Assumptions'!$C$65*(1-'Assumptions'!$C$8*'Assumptions'!$I$65)</x:f>
        <x:v>2.4000000000000004</x:v>
      </x:c>
      <x:c r="I38" s="33" t="n">
        <x:f>(D38*'Assumptions'!$D$65+'Assumptions'!$E$65)*(1-'Assumptions'!$C$8*'Assumptions'!$J$65)</x:f>
        <x:v>0.7</x:v>
      </x:c>
      <x:c r="J38" s="33" t="n">
        <x:f>D38*'Assumptions'!$F$65*(1-'Assumptions'!$C$8*'Assumptions'!$K$65)</x:f>
        <x:v>0.21</x:v>
      </x:c>
      <x:c r="K38" s="33" t="n">
        <x:f>D38*'Assumptions'!$G$65*(1-'Assumptions'!$C$8*'Assumptions'!$L$65)</x:f>
        <x:v>0.15</x:v>
      </x:c>
      <x:c r="L38" s="33" t="n">
        <x:f>D38*'Assumptions'!$H$65*(1-'Assumptions'!$C$8*'Assumptions'!$J$65)</x:f>
        <x:v>0</x:v>
      </x:c>
      <x:c r="M38" s="35" t="n">
        <x:f>G38-SUM(H38:L38)</x:f>
        <x:v>20.54</x:v>
      </x:c>
      <x:c r="N38" s="2"/>
    </x:row>
    <x:row r="39" ht="34" customHeight="1">
      <x:c r="A39" s="2"/>
      <x:c r="B39" s="32" t="str">
        <x:f>'Assumptions'!B50</x:f>
        <x:v>Basic annual</x:v>
      </x:c>
      <x:c r="C39" s="32" t="str">
        <x:f>'Assumptions'!B66</x:f>
        <x:v>Apple EU in-app standard</x:v>
      </x:c>
      <x:c r="D39" s="33" t="n">
        <x:f>IF('Assumptions'!$C$7=1,'Assumptions'!$D$50,'Assumptions'!$D$50*(1+'Assumptions'!$C$6))</x:f>
        <x:v>30</x:v>
      </x:c>
      <x:c r="E39" s="33" t="n">
        <x:f>D39*'Assumptions'!$C$8</x:f>
        <x:v>0</x:v>
      </x:c>
      <x:c r="F39" s="33" t="n">
        <x:f>(D39-E39)*'Assumptions'!$C$6/(1+'Assumptions'!$C$6)</x:f>
        <x:v>6</x:v>
      </x:c>
      <x:c r="G39" s="27" t="n">
        <x:f>D39-E39-F39</x:f>
        <x:v>24</x:v>
      </x:c>
      <x:c r="H39" s="33" t="n">
        <x:f>D39/(1+'Assumptions'!$C$6)*'Assumptions'!$C$66*(1-'Assumptions'!$C$8*'Assumptions'!$I$66)</x:f>
        <x:v>4.800000000000001</x:v>
      </x:c>
      <x:c r="I39" s="33" t="n">
        <x:f>(D39*'Assumptions'!$D$66+'Assumptions'!$E$66)*(1-'Assumptions'!$C$8*'Assumptions'!$J$66)</x:f>
        <x:v>0.7</x:v>
      </x:c>
      <x:c r="J39" s="33" t="n">
        <x:f>D39*'Assumptions'!$F$66*(1-'Assumptions'!$C$8*'Assumptions'!$K$66)</x:f>
        <x:v>0.21</x:v>
      </x:c>
      <x:c r="K39" s="33" t="n">
        <x:f>D39*'Assumptions'!$G$66*(1-'Assumptions'!$C$8*'Assumptions'!$L$66)</x:f>
        <x:v>0.15</x:v>
      </x:c>
      <x:c r="L39" s="33" t="n">
        <x:f>D39*'Assumptions'!$H$66*(1-'Assumptions'!$C$8*'Assumptions'!$J$66)</x:f>
        <x:v>0</x:v>
      </x:c>
      <x:c r="M39" s="35" t="n">
        <x:f>G39-SUM(H39:L39)</x:f>
        <x:v>18.14</x:v>
      </x:c>
      <x:c r="N39" s="2"/>
    </x:row>
    <x:row r="40" ht="34" customHeight="1">
      <x:c r="A40" s="2"/>
      <x:c r="B40" s="32" t="str">
        <x:f>'Assumptions'!B50</x:f>
        <x:v>Basic annual</x:v>
      </x:c>
      <x:c r="C40" s="32" t="str">
        <x:f>'Assumptions'!B67</x:f>
        <x:v>Apple EU link standard</x:v>
      </x:c>
      <x:c r="D40" s="33" t="n">
        <x:f>IF('Assumptions'!$C$7=1,'Assumptions'!$D$50,'Assumptions'!$D$50*(1+'Assumptions'!$C$6))</x:f>
        <x:v>30</x:v>
      </x:c>
      <x:c r="E40" s="33" t="n">
        <x:f>D40*'Assumptions'!$C$8</x:f>
        <x:v>0</x:v>
      </x:c>
      <x:c r="F40" s="33" t="n">
        <x:f>(D40-E40)*'Assumptions'!$C$6/(1+'Assumptions'!$C$6)</x:f>
        <x:v>6</x:v>
      </x:c>
      <x:c r="G40" s="27" t="n">
        <x:f>D40-E40-F40</x:f>
        <x:v>24</x:v>
      </x:c>
      <x:c r="H40" s="33" t="n">
        <x:f>D40/(1+'Assumptions'!$C$6)*'Assumptions'!$C$67*(1-'Assumptions'!$C$8*'Assumptions'!$I$67)</x:f>
        <x:v>3.5999999999999996</x:v>
      </x:c>
      <x:c r="I40" s="33" t="n">
        <x:f>(D40*'Assumptions'!$D$67+'Assumptions'!$E$67)*(1-'Assumptions'!$C$8*'Assumptions'!$J$67)</x:f>
        <x:v>0.7</x:v>
      </x:c>
      <x:c r="J40" s="33" t="n">
        <x:f>D40*'Assumptions'!$F$67*(1-'Assumptions'!$C$8*'Assumptions'!$K$67)</x:f>
        <x:v>0.21</x:v>
      </x:c>
      <x:c r="K40" s="33" t="n">
        <x:f>D40*'Assumptions'!$G$67*(1-'Assumptions'!$C$8*'Assumptions'!$L$67)</x:f>
        <x:v>0.15</x:v>
      </x:c>
      <x:c r="L40" s="33" t="n">
        <x:f>D40*'Assumptions'!$H$67*(1-'Assumptions'!$C$8*'Assumptions'!$J$67)</x:f>
        <x:v>0</x:v>
      </x:c>
      <x:c r="M40" s="35" t="n">
        <x:f>G40-SUM(H40:L40)</x:f>
        <x:v>19.34</x:v>
      </x:c>
      <x:c r="N40" s="2"/>
    </x:row>
    <x:row r="41" ht="34" customHeight="1">
      <x:c r="A41" s="2"/>
      <x:c r="B41" s="32" t="str">
        <x:f>'Assumptions'!B50</x:f>
        <x:v>Basic annual</x:v>
      </x:c>
      <x:c r="C41" s="32" t="str">
        <x:f>'Assumptions'!B68</x:f>
        <x:v>Play US alternative</x:v>
      </x:c>
      <x:c r="D41" s="33" t="n">
        <x:f>IF('Assumptions'!$C$7=1,'Assumptions'!$D$50,'Assumptions'!$D$50*(1+'Assumptions'!$C$6))</x:f>
        <x:v>30</x:v>
      </x:c>
      <x:c r="E41" s="33" t="n">
        <x:f>D41*'Assumptions'!$C$8</x:f>
        <x:v>0</x:v>
      </x:c>
      <x:c r="F41" s="33" t="n">
        <x:f>(D41-E41)*'Assumptions'!$C$6/(1+'Assumptions'!$C$6)</x:f>
        <x:v>6</x:v>
      </x:c>
      <x:c r="G41" s="27" t="n">
        <x:f>D41-E41-F41</x:f>
        <x:v>24</x:v>
      </x:c>
      <x:c r="H41" s="33" t="n">
        <x:f>D41/(1+'Assumptions'!$C$6)*'Assumptions'!$C$68*(1-'Assumptions'!$C$8*'Assumptions'!$I$68)</x:f>
        <x:v>2.4000000000000004</x:v>
      </x:c>
      <x:c r="I41" s="33" t="n">
        <x:f>(D41*'Assumptions'!$D$68+'Assumptions'!$E$68)*(1-'Assumptions'!$C$8*'Assumptions'!$J$68)</x:f>
        <x:v>1.195</x:v>
      </x:c>
      <x:c r="J41" s="33" t="n">
        <x:f>D41*'Assumptions'!$F$68*(1-'Assumptions'!$C$8*'Assumptions'!$K$68)</x:f>
        <x:v>0.21</x:v>
      </x:c>
      <x:c r="K41" s="33" t="n">
        <x:f>D41*'Assumptions'!$G$68*(1-'Assumptions'!$C$8*'Assumptions'!$L$68)</x:f>
        <x:v>0.15</x:v>
      </x:c>
      <x:c r="L41" s="33" t="n">
        <x:f>D41*'Assumptions'!$H$68*(1-'Assumptions'!$C$8*'Assumptions'!$J$68)</x:f>
        <x:v>0</x:v>
      </x:c>
      <x:c r="M41" s="35" t="n">
        <x:f>G41-SUM(H41:L41)</x:f>
        <x:v>20.044999999999998</x:v>
      </x:c>
      <x:c r="N41" s="2"/>
    </x:row>
    <x:row r="42" ht="34" customHeight="1">
      <x:c r="A42" s="2"/>
      <x:c r="B42" s="32" t="str">
        <x:f>'Assumptions'!B50</x:f>
        <x:v>Basic annual</x:v>
      </x:c>
      <x:c r="C42" s="32" t="str">
        <x:f>'Assumptions'!B69</x:f>
        <x:v>US iOS link sensitivity</x:v>
      </x:c>
      <x:c r="D42" s="33" t="n">
        <x:f>IF('Assumptions'!$C$7=1,'Assumptions'!$D$50,'Assumptions'!$D$50*(1+'Assumptions'!$C$6))</x:f>
        <x:v>30</x:v>
      </x:c>
      <x:c r="E42" s="33" t="n">
        <x:f>D42*'Assumptions'!$C$8</x:f>
        <x:v>0</x:v>
      </x:c>
      <x:c r="F42" s="33" t="n">
        <x:f>(D42-E42)*'Assumptions'!$C$6/(1+'Assumptions'!$C$6)</x:f>
        <x:v>6</x:v>
      </x:c>
      <x:c r="G42" s="27" t="n">
        <x:f>D42-E42-F42</x:f>
        <x:v>24</x:v>
      </x:c>
      <x:c r="H42" s="33" t="n">
        <x:f>D42/(1+'Assumptions'!$C$6)*'Assumptions'!$C$69*(1-'Assumptions'!$C$8*'Assumptions'!$I$69)</x:f>
        <x:v>0</x:v>
      </x:c>
      <x:c r="I42" s="33" t="n">
        <x:f>(D42*'Assumptions'!$D$69+'Assumptions'!$E$69)*(1-'Assumptions'!$C$8*'Assumptions'!$J$69)</x:f>
        <x:v>1.195</x:v>
      </x:c>
      <x:c r="J42" s="33" t="n">
        <x:f>D42*'Assumptions'!$F$69*(1-'Assumptions'!$C$8*'Assumptions'!$K$69)</x:f>
        <x:v>0.21</x:v>
      </x:c>
      <x:c r="K42" s="33" t="n">
        <x:f>D42*'Assumptions'!$G$69*(1-'Assumptions'!$C$8*'Assumptions'!$L$69)</x:f>
        <x:v>0.15</x:v>
      </x:c>
      <x:c r="L42" s="33" t="n">
        <x:f>D42*'Assumptions'!$H$69*(1-'Assumptions'!$C$8*'Assumptions'!$J$69)</x:f>
        <x:v>0</x:v>
      </x:c>
      <x:c r="M42" s="35" t="n">
        <x:f>G42-SUM(H42:L42)</x:f>
        <x:v>22.445</x:v>
      </x:c>
      <x:c r="N42" s="2"/>
    </x:row>
    <x:row r="43" ht="34" customHeight="1">
      <x:c r="A43" s="2"/>
      <x:c r="B43" s="30" t="str">
        <x:f>'Assumptions'!B51</x:f>
        <x:v>Advanced monthly</x:v>
      </x:c>
      <x:c r="C43" s="30" t="str">
        <x:f>'Assumptions'!B60</x:f>
        <x:v>Native reduced / Play</x:v>
      </x:c>
      <x:c r="D43" s="31" t="n">
        <x:f>IF('Assumptions'!$C$7=1,'Assumptions'!$D$51,'Assumptions'!$D$51*(1+'Assumptions'!$C$6))</x:f>
        <x:v>6</x:v>
      </x:c>
      <x:c r="E43" s="31" t="n">
        <x:f>D43*'Assumptions'!$C$8</x:f>
        <x:v>0</x:v>
      </x:c>
      <x:c r="F43" s="31" t="n">
        <x:f>(D43-E43)*'Assumptions'!$C$6/(1+'Assumptions'!$C$6)</x:f>
        <x:v>1.2</x:v>
      </x:c>
      <x:c r="G43" s="22" t="n">
        <x:f>D43-E43-F43</x:f>
        <x:v>4.8</x:v>
      </x:c>
      <x:c r="H43" s="31" t="n">
        <x:f>D43/(1+'Assumptions'!$C$6)*'Assumptions'!$C$60*(1-'Assumptions'!$C$8*'Assumptions'!$I$60)</x:f>
        <x:v>0.72</x:v>
      </x:c>
      <x:c r="I43" s="31" t="n">
        <x:f>(D43*'Assumptions'!$D$60+'Assumptions'!$E$60)*(1-'Assumptions'!$C$8*'Assumptions'!$J$60)</x:f>
        <x:v>0</x:v>
      </x:c>
      <x:c r="J43" s="31" t="n">
        <x:f>D43*'Assumptions'!$F$60*(1-'Assumptions'!$C$8*'Assumptions'!$K$60)</x:f>
        <x:v>0</x:v>
      </x:c>
      <x:c r="K43" s="31" t="n">
        <x:f>D43*'Assumptions'!$G$60*(1-'Assumptions'!$C$8*'Assumptions'!$L$60)</x:f>
        <x:v>0</x:v>
      </x:c>
      <x:c r="L43" s="31" t="n">
        <x:f>D43*'Assumptions'!$H$60*(1-'Assumptions'!$C$8*'Assumptions'!$J$60)</x:f>
        <x:v>0</x:v>
      </x:c>
      <x:c r="M43" s="34" t="n">
        <x:f>G43-SUM(H43:L43)</x:f>
        <x:v>4.08</x:v>
      </x:c>
      <x:c r="N43" s="2"/>
    </x:row>
    <x:row r="44" ht="34" customHeight="1">
      <x:c r="A44" s="2"/>
      <x:c r="B44" s="30" t="str">
        <x:f>'Assumptions'!B51</x:f>
        <x:v>Advanced monthly</x:v>
      </x:c>
      <x:c r="C44" s="30" t="str">
        <x:f>'Assumptions'!B61</x:f>
        <x:v>Apple EU native standard</x:v>
      </x:c>
      <x:c r="D44" s="31" t="n">
        <x:f>IF('Assumptions'!$C$7=1,'Assumptions'!$D$51,'Assumptions'!$D$51*(1+'Assumptions'!$C$6))</x:f>
        <x:v>6</x:v>
      </x:c>
      <x:c r="E44" s="31" t="n">
        <x:f>D44*'Assumptions'!$C$8</x:f>
        <x:v>0</x:v>
      </x:c>
      <x:c r="F44" s="31" t="n">
        <x:f>(D44-E44)*'Assumptions'!$C$6/(1+'Assumptions'!$C$6)</x:f>
        <x:v>1.2</x:v>
      </x:c>
      <x:c r="G44" s="22" t="n">
        <x:f>D44-E44-F44</x:f>
        <x:v>4.8</x:v>
      </x:c>
      <x:c r="H44" s="31" t="n">
        <x:f>D44/(1+'Assumptions'!$C$6)*'Assumptions'!$C$61*(1-'Assumptions'!$C$8*'Assumptions'!$I$61)</x:f>
        <x:v>1.248</x:v>
      </x:c>
      <x:c r="I44" s="31" t="n">
        <x:f>(D44*'Assumptions'!$D$61+'Assumptions'!$E$61)*(1-'Assumptions'!$C$8*'Assumptions'!$J$61)</x:f>
        <x:v>0</x:v>
      </x:c>
      <x:c r="J44" s="31" t="n">
        <x:f>D44*'Assumptions'!$F$61*(1-'Assumptions'!$C$8*'Assumptions'!$K$61)</x:f>
        <x:v>0</x:v>
      </x:c>
      <x:c r="K44" s="31" t="n">
        <x:f>D44*'Assumptions'!$G$61*(1-'Assumptions'!$C$8*'Assumptions'!$L$61)</x:f>
        <x:v>0</x:v>
      </x:c>
      <x:c r="L44" s="31" t="n">
        <x:f>D44*'Assumptions'!$H$61*(1-'Assumptions'!$C$8*'Assumptions'!$J$61)</x:f>
        <x:v>0</x:v>
      </x:c>
      <x:c r="M44" s="34" t="n">
        <x:f>G44-SUM(H44:L44)</x:f>
        <x:v>3.5519999999999996</x:v>
      </x:c>
      <x:c r="N44" s="2"/>
    </x:row>
    <x:row r="45" ht="34" customHeight="1">
      <x:c r="A45" s="2"/>
      <x:c r="B45" s="30" t="str">
        <x:f>'Assumptions'!B51</x:f>
        <x:v>Advanced monthly</x:v>
      </x:c>
      <x:c r="C45" s="30" t="str">
        <x:f>'Assumptions'!B62</x:f>
        <x:v>Apple ordinary standard</x:v>
      </x:c>
      <x:c r="D45" s="31" t="n">
        <x:f>IF('Assumptions'!$C$7=1,'Assumptions'!$D$51,'Assumptions'!$D$51*(1+'Assumptions'!$C$6))</x:f>
        <x:v>6</x:v>
      </x:c>
      <x:c r="E45" s="31" t="n">
        <x:f>D45*'Assumptions'!$C$8</x:f>
        <x:v>0</x:v>
      </x:c>
      <x:c r="F45" s="31" t="n">
        <x:f>(D45-E45)*'Assumptions'!$C$6/(1+'Assumptions'!$C$6)</x:f>
        <x:v>1.2</x:v>
      </x:c>
      <x:c r="G45" s="22" t="n">
        <x:f>D45-E45-F45</x:f>
        <x:v>4.8</x:v>
      </x:c>
      <x:c r="H45" s="31" t="n">
        <x:f>D45/(1+'Assumptions'!$C$6)*'Assumptions'!$C$62*(1-'Assumptions'!$C$8*'Assumptions'!$I$62)</x:f>
        <x:v>1.44</x:v>
      </x:c>
      <x:c r="I45" s="31" t="n">
        <x:f>(D45*'Assumptions'!$D$62+'Assumptions'!$E$62)*(1-'Assumptions'!$C$8*'Assumptions'!$J$62)</x:f>
        <x:v>0</x:v>
      </x:c>
      <x:c r="J45" s="31" t="n">
        <x:f>D45*'Assumptions'!$F$62*(1-'Assumptions'!$C$8*'Assumptions'!$K$62)</x:f>
        <x:v>0</x:v>
      </x:c>
      <x:c r="K45" s="31" t="n">
        <x:f>D45*'Assumptions'!$G$62*(1-'Assumptions'!$C$8*'Assumptions'!$L$62)</x:f>
        <x:v>0</x:v>
      </x:c>
      <x:c r="L45" s="31" t="n">
        <x:f>D45*'Assumptions'!$H$62*(1-'Assumptions'!$C$8*'Assumptions'!$J$62)</x:f>
        <x:v>0</x:v>
      </x:c>
      <x:c r="M45" s="34" t="n">
        <x:f>G45-SUM(H45:L45)</x:f>
        <x:v>3.36</x:v>
      </x:c>
      <x:c r="N45" s="2"/>
    </x:row>
    <x:row r="46" ht="34" customHeight="1">
      <x:c r="A46" s="2"/>
      <x:c r="B46" s="30" t="str">
        <x:f>'Assumptions'!B51</x:f>
        <x:v>Advanced monthly</x:v>
      </x:c>
      <x:c r="C46" s="30" t="str">
        <x:f>'Assumptions'!B63</x:f>
        <x:v>Web Stripe EEA card</x:v>
      </x:c>
      <x:c r="D46" s="31" t="n">
        <x:f>IF('Assumptions'!$C$7=1,'Assumptions'!$D$51,'Assumptions'!$D$51*(1+'Assumptions'!$C$6))</x:f>
        <x:v>6</x:v>
      </x:c>
      <x:c r="E46" s="31" t="n">
        <x:f>D46*'Assumptions'!$C$8</x:f>
        <x:v>0</x:v>
      </x:c>
      <x:c r="F46" s="31" t="n">
        <x:f>(D46-E46)*'Assumptions'!$C$6/(1+'Assumptions'!$C$6)</x:f>
        <x:v>1.2</x:v>
      </x:c>
      <x:c r="G46" s="22" t="n">
        <x:f>D46-E46-F46</x:f>
        <x:v>4.8</x:v>
      </x:c>
      <x:c r="H46" s="31" t="n">
        <x:f>D46/(1+'Assumptions'!$C$6)*'Assumptions'!$C$63*(1-'Assumptions'!$C$8*'Assumptions'!$I$63)</x:f>
        <x:v>0</x:v>
      </x:c>
      <x:c r="I46" s="31" t="n">
        <x:f>(D46*'Assumptions'!$D$63+'Assumptions'!$E$63)*(1-'Assumptions'!$C$8*'Assumptions'!$J$63)</x:f>
        <x:v>0.33999999999999997</x:v>
      </x:c>
      <x:c r="J46" s="31" t="n">
        <x:f>D46*'Assumptions'!$F$63*(1-'Assumptions'!$C$8*'Assumptions'!$K$63)</x:f>
        <x:v>0.042</x:v>
      </x:c>
      <x:c r="K46" s="31" t="n">
        <x:f>D46*'Assumptions'!$G$63*(1-'Assumptions'!$C$8*'Assumptions'!$L$63)</x:f>
        <x:v>0.03</x:v>
      </x:c>
      <x:c r="L46" s="31" t="n">
        <x:f>D46*'Assumptions'!$H$63*(1-'Assumptions'!$C$8*'Assumptions'!$J$63)</x:f>
        <x:v>0</x:v>
      </x:c>
      <x:c r="M46" s="34" t="n">
        <x:f>G46-SUM(H46:L46)</x:f>
        <x:v>4.388</x:v>
      </x:c>
      <x:c r="N46" s="2"/>
    </x:row>
    <x:row r="47" ht="34" customHeight="1">
      <x:c r="A47" s="2"/>
      <x:c r="B47" s="30" t="str">
        <x:f>'Assumptions'!B51</x:f>
        <x:v>Advanced monthly</x:v>
      </x:c>
      <x:c r="C47" s="30" t="str">
        <x:f>'Assumptions'!B64</x:f>
        <x:v>Web Stripe international</x:v>
      </x:c>
      <x:c r="D47" s="31" t="n">
        <x:f>IF('Assumptions'!$C$7=1,'Assumptions'!$D$51,'Assumptions'!$D$51*(1+'Assumptions'!$C$6))</x:f>
        <x:v>6</x:v>
      </x:c>
      <x:c r="E47" s="31" t="n">
        <x:f>D47*'Assumptions'!$C$8</x:f>
        <x:v>0</x:v>
      </x:c>
      <x:c r="F47" s="31" t="n">
        <x:f>(D47-E47)*'Assumptions'!$C$6/(1+'Assumptions'!$C$6)</x:f>
        <x:v>1.2</x:v>
      </x:c>
      <x:c r="G47" s="22" t="n">
        <x:f>D47-E47-F47</x:f>
        <x:v>4.8</x:v>
      </x:c>
      <x:c r="H47" s="31" t="n">
        <x:f>D47/(1+'Assumptions'!$C$6)*'Assumptions'!$C$64*(1-'Assumptions'!$C$8*'Assumptions'!$I$64)</x:f>
        <x:v>0</x:v>
      </x:c>
      <x:c r="I47" s="31" t="n">
        <x:f>(D47*'Assumptions'!$D$64+'Assumptions'!$E$64)*(1-'Assumptions'!$C$8*'Assumptions'!$J$64)</x:f>
        <x:v>0.439</x:v>
      </x:c>
      <x:c r="J47" s="31" t="n">
        <x:f>D47*'Assumptions'!$F$64*(1-'Assumptions'!$C$8*'Assumptions'!$K$64)</x:f>
        <x:v>0.042</x:v>
      </x:c>
      <x:c r="K47" s="31" t="n">
        <x:f>D47*'Assumptions'!$G$64*(1-'Assumptions'!$C$8*'Assumptions'!$L$64)</x:f>
        <x:v>0.03</x:v>
      </x:c>
      <x:c r="L47" s="31" t="n">
        <x:f>D47*'Assumptions'!$H$64*(1-'Assumptions'!$C$8*'Assumptions'!$J$64)</x:f>
        <x:v>0</x:v>
      </x:c>
      <x:c r="M47" s="34" t="n">
        <x:f>G47-SUM(H47:L47)</x:f>
        <x:v>4.289</x:v>
      </x:c>
      <x:c r="N47" s="2"/>
    </x:row>
    <x:row r="48" ht="34" customHeight="1">
      <x:c r="A48" s="2"/>
      <x:c r="B48" s="30" t="str">
        <x:f>'Assumptions'!B51</x:f>
        <x:v>Advanced monthly</x:v>
      </x:c>
      <x:c r="C48" s="30" t="str">
        <x:f>'Assumptions'!B65</x:f>
        <x:v>Alternative reduced EEA</x:v>
      </x:c>
      <x:c r="D48" s="31" t="n">
        <x:f>IF('Assumptions'!$C$7=1,'Assumptions'!$D$51,'Assumptions'!$D$51*(1+'Assumptions'!$C$6))</x:f>
        <x:v>6</x:v>
      </x:c>
      <x:c r="E48" s="31" t="n">
        <x:f>D48*'Assumptions'!$C$8</x:f>
        <x:v>0</x:v>
      </x:c>
      <x:c r="F48" s="31" t="n">
        <x:f>(D48-E48)*'Assumptions'!$C$6/(1+'Assumptions'!$C$6)</x:f>
        <x:v>1.2</x:v>
      </x:c>
      <x:c r="G48" s="22" t="n">
        <x:f>D48-E48-F48</x:f>
        <x:v>4.8</x:v>
      </x:c>
      <x:c r="H48" s="31" t="n">
        <x:f>D48/(1+'Assumptions'!$C$6)*'Assumptions'!$C$65*(1-'Assumptions'!$C$8*'Assumptions'!$I$65)</x:f>
        <x:v>0.48</x:v>
      </x:c>
      <x:c r="I48" s="31" t="n">
        <x:f>(D48*'Assumptions'!$D$65+'Assumptions'!$E$65)*(1-'Assumptions'!$C$8*'Assumptions'!$J$65)</x:f>
        <x:v>0.33999999999999997</x:v>
      </x:c>
      <x:c r="J48" s="31" t="n">
        <x:f>D48*'Assumptions'!$F$65*(1-'Assumptions'!$C$8*'Assumptions'!$K$65)</x:f>
        <x:v>0.042</x:v>
      </x:c>
      <x:c r="K48" s="31" t="n">
        <x:f>D48*'Assumptions'!$G$65*(1-'Assumptions'!$C$8*'Assumptions'!$L$65)</x:f>
        <x:v>0.03</x:v>
      </x:c>
      <x:c r="L48" s="31" t="n">
        <x:f>D48*'Assumptions'!$H$65*(1-'Assumptions'!$C$8*'Assumptions'!$J$65)</x:f>
        <x:v>0</x:v>
      </x:c>
      <x:c r="M48" s="34" t="n">
        <x:f>G48-SUM(H48:L48)</x:f>
        <x:v>3.908</x:v>
      </x:c>
      <x:c r="N48" s="2"/>
    </x:row>
    <x:row r="49" ht="34" customHeight="1">
      <x:c r="A49" s="2"/>
      <x:c r="B49" s="30" t="str">
        <x:f>'Assumptions'!B51</x:f>
        <x:v>Advanced monthly</x:v>
      </x:c>
      <x:c r="C49" s="30" t="str">
        <x:f>'Assumptions'!B66</x:f>
        <x:v>Apple EU in-app standard</x:v>
      </x:c>
      <x:c r="D49" s="31" t="n">
        <x:f>IF('Assumptions'!$C$7=1,'Assumptions'!$D$51,'Assumptions'!$D$51*(1+'Assumptions'!$C$6))</x:f>
        <x:v>6</x:v>
      </x:c>
      <x:c r="E49" s="31" t="n">
        <x:f>D49*'Assumptions'!$C$8</x:f>
        <x:v>0</x:v>
      </x:c>
      <x:c r="F49" s="31" t="n">
        <x:f>(D49-E49)*'Assumptions'!$C$6/(1+'Assumptions'!$C$6)</x:f>
        <x:v>1.2</x:v>
      </x:c>
      <x:c r="G49" s="22" t="n">
        <x:f>D49-E49-F49</x:f>
        <x:v>4.8</x:v>
      </x:c>
      <x:c r="H49" s="31" t="n">
        <x:f>D49/(1+'Assumptions'!$C$6)*'Assumptions'!$C$66*(1-'Assumptions'!$C$8*'Assumptions'!$I$66)</x:f>
        <x:v>0.96</x:v>
      </x:c>
      <x:c r="I49" s="31" t="n">
        <x:f>(D49*'Assumptions'!$D$66+'Assumptions'!$E$66)*(1-'Assumptions'!$C$8*'Assumptions'!$J$66)</x:f>
        <x:v>0.33999999999999997</x:v>
      </x:c>
      <x:c r="J49" s="31" t="n">
        <x:f>D49*'Assumptions'!$F$66*(1-'Assumptions'!$C$8*'Assumptions'!$K$66)</x:f>
        <x:v>0.042</x:v>
      </x:c>
      <x:c r="K49" s="31" t="n">
        <x:f>D49*'Assumptions'!$G$66*(1-'Assumptions'!$C$8*'Assumptions'!$L$66)</x:f>
        <x:v>0.03</x:v>
      </x:c>
      <x:c r="L49" s="31" t="n">
        <x:f>D49*'Assumptions'!$H$66*(1-'Assumptions'!$C$8*'Assumptions'!$J$66)</x:f>
        <x:v>0</x:v>
      </x:c>
      <x:c r="M49" s="34" t="n">
        <x:f>G49-SUM(H49:L49)</x:f>
        <x:v>3.428</x:v>
      </x:c>
      <x:c r="N49" s="2"/>
    </x:row>
    <x:row r="50" ht="34" customHeight="1">
      <x:c r="A50" s="2"/>
      <x:c r="B50" s="30" t="str">
        <x:f>'Assumptions'!B51</x:f>
        <x:v>Advanced monthly</x:v>
      </x:c>
      <x:c r="C50" s="30" t="str">
        <x:f>'Assumptions'!B67</x:f>
        <x:v>Apple EU link standard</x:v>
      </x:c>
      <x:c r="D50" s="31" t="n">
        <x:f>IF('Assumptions'!$C$7=1,'Assumptions'!$D$51,'Assumptions'!$D$51*(1+'Assumptions'!$C$6))</x:f>
        <x:v>6</x:v>
      </x:c>
      <x:c r="E50" s="31" t="n">
        <x:f>D50*'Assumptions'!$C$8</x:f>
        <x:v>0</x:v>
      </x:c>
      <x:c r="F50" s="31" t="n">
        <x:f>(D50-E50)*'Assumptions'!$C$6/(1+'Assumptions'!$C$6)</x:f>
        <x:v>1.2</x:v>
      </x:c>
      <x:c r="G50" s="22" t="n">
        <x:f>D50-E50-F50</x:f>
        <x:v>4.8</x:v>
      </x:c>
      <x:c r="H50" s="31" t="n">
        <x:f>D50/(1+'Assumptions'!$C$6)*'Assumptions'!$C$67*(1-'Assumptions'!$C$8*'Assumptions'!$I$67)</x:f>
        <x:v>0.72</x:v>
      </x:c>
      <x:c r="I50" s="31" t="n">
        <x:f>(D50*'Assumptions'!$D$67+'Assumptions'!$E$67)*(1-'Assumptions'!$C$8*'Assumptions'!$J$67)</x:f>
        <x:v>0.33999999999999997</x:v>
      </x:c>
      <x:c r="J50" s="31" t="n">
        <x:f>D50*'Assumptions'!$F$67*(1-'Assumptions'!$C$8*'Assumptions'!$K$67)</x:f>
        <x:v>0.042</x:v>
      </x:c>
      <x:c r="K50" s="31" t="n">
        <x:f>D50*'Assumptions'!$G$67*(1-'Assumptions'!$C$8*'Assumptions'!$L$67)</x:f>
        <x:v>0.03</x:v>
      </x:c>
      <x:c r="L50" s="31" t="n">
        <x:f>D50*'Assumptions'!$H$67*(1-'Assumptions'!$C$8*'Assumptions'!$J$67)</x:f>
        <x:v>0</x:v>
      </x:c>
      <x:c r="M50" s="34" t="n">
        <x:f>G50-SUM(H50:L50)</x:f>
        <x:v>3.6679999999999997</x:v>
      </x:c>
      <x:c r="N50" s="2"/>
    </x:row>
    <x:row r="51" ht="34" customHeight="1">
      <x:c r="A51" s="2"/>
      <x:c r="B51" s="30" t="str">
        <x:f>'Assumptions'!B51</x:f>
        <x:v>Advanced monthly</x:v>
      </x:c>
      <x:c r="C51" s="30" t="str">
        <x:f>'Assumptions'!B68</x:f>
        <x:v>Play US alternative</x:v>
      </x:c>
      <x:c r="D51" s="31" t="n">
        <x:f>IF('Assumptions'!$C$7=1,'Assumptions'!$D$51,'Assumptions'!$D$51*(1+'Assumptions'!$C$6))</x:f>
        <x:v>6</x:v>
      </x:c>
      <x:c r="E51" s="31" t="n">
        <x:f>D51*'Assumptions'!$C$8</x:f>
        <x:v>0</x:v>
      </x:c>
      <x:c r="F51" s="31" t="n">
        <x:f>(D51-E51)*'Assumptions'!$C$6/(1+'Assumptions'!$C$6)</x:f>
        <x:v>1.2</x:v>
      </x:c>
      <x:c r="G51" s="22" t="n">
        <x:f>D51-E51-F51</x:f>
        <x:v>4.8</x:v>
      </x:c>
      <x:c r="H51" s="31" t="n">
        <x:f>D51/(1+'Assumptions'!$C$6)*'Assumptions'!$C$68*(1-'Assumptions'!$C$8*'Assumptions'!$I$68)</x:f>
        <x:v>0.48</x:v>
      </x:c>
      <x:c r="I51" s="31" t="n">
        <x:f>(D51*'Assumptions'!$D$68+'Assumptions'!$E$68)*(1-'Assumptions'!$C$8*'Assumptions'!$J$68)</x:f>
        <x:v>0.439</x:v>
      </x:c>
      <x:c r="J51" s="31" t="n">
        <x:f>D51*'Assumptions'!$F$68*(1-'Assumptions'!$C$8*'Assumptions'!$K$68)</x:f>
        <x:v>0.042</x:v>
      </x:c>
      <x:c r="K51" s="31" t="n">
        <x:f>D51*'Assumptions'!$G$68*(1-'Assumptions'!$C$8*'Assumptions'!$L$68)</x:f>
        <x:v>0.03</x:v>
      </x:c>
      <x:c r="L51" s="31" t="n">
        <x:f>D51*'Assumptions'!$H$68*(1-'Assumptions'!$C$8*'Assumptions'!$J$68)</x:f>
        <x:v>0</x:v>
      </x:c>
      <x:c r="M51" s="34" t="n">
        <x:f>G51-SUM(H51:L51)</x:f>
        <x:v>3.8089999999999997</x:v>
      </x:c>
      <x:c r="N51" s="2"/>
    </x:row>
    <x:row r="52" ht="34" customHeight="1">
      <x:c r="A52" s="2"/>
      <x:c r="B52" s="30" t="str">
        <x:f>'Assumptions'!B51</x:f>
        <x:v>Advanced monthly</x:v>
      </x:c>
      <x:c r="C52" s="30" t="str">
        <x:f>'Assumptions'!B69</x:f>
        <x:v>US iOS link sensitivity</x:v>
      </x:c>
      <x:c r="D52" s="31" t="n">
        <x:f>IF('Assumptions'!$C$7=1,'Assumptions'!$D$51,'Assumptions'!$D$51*(1+'Assumptions'!$C$6))</x:f>
        <x:v>6</x:v>
      </x:c>
      <x:c r="E52" s="31" t="n">
        <x:f>D52*'Assumptions'!$C$8</x:f>
        <x:v>0</x:v>
      </x:c>
      <x:c r="F52" s="31" t="n">
        <x:f>(D52-E52)*'Assumptions'!$C$6/(1+'Assumptions'!$C$6)</x:f>
        <x:v>1.2</x:v>
      </x:c>
      <x:c r="G52" s="22" t="n">
        <x:f>D52-E52-F52</x:f>
        <x:v>4.8</x:v>
      </x:c>
      <x:c r="H52" s="31" t="n">
        <x:f>D52/(1+'Assumptions'!$C$6)*'Assumptions'!$C$69*(1-'Assumptions'!$C$8*'Assumptions'!$I$69)</x:f>
        <x:v>0</x:v>
      </x:c>
      <x:c r="I52" s="31" t="n">
        <x:f>(D52*'Assumptions'!$D$69+'Assumptions'!$E$69)*(1-'Assumptions'!$C$8*'Assumptions'!$J$69)</x:f>
        <x:v>0.439</x:v>
      </x:c>
      <x:c r="J52" s="31" t="n">
        <x:f>D52*'Assumptions'!$F$69*(1-'Assumptions'!$C$8*'Assumptions'!$K$69)</x:f>
        <x:v>0.042</x:v>
      </x:c>
      <x:c r="K52" s="31" t="n">
        <x:f>D52*'Assumptions'!$G$69*(1-'Assumptions'!$C$8*'Assumptions'!$L$69)</x:f>
        <x:v>0.03</x:v>
      </x:c>
      <x:c r="L52" s="31" t="n">
        <x:f>D52*'Assumptions'!$H$69*(1-'Assumptions'!$C$8*'Assumptions'!$J$69)</x:f>
        <x:v>0</x:v>
      </x:c>
      <x:c r="M52" s="34" t="n">
        <x:f>G52-SUM(H52:L52)</x:f>
        <x:v>4.289</x:v>
      </x:c>
      <x:c r="N52" s="2"/>
    </x:row>
    <x:row r="53" ht="34" customHeight="1">
      <x:c r="A53" s="2"/>
      <x:c r="B53" s="32" t="str">
        <x:f>'Assumptions'!B52</x:f>
        <x:v>Advanced annual</x:v>
      </x:c>
      <x:c r="C53" s="32" t="str">
        <x:f>'Assumptions'!B60</x:f>
        <x:v>Native reduced / Play</x:v>
      </x:c>
      <x:c r="D53" s="33" t="n">
        <x:f>IF('Assumptions'!$C$7=1,'Assumptions'!$D$52,'Assumptions'!$D$52*(1+'Assumptions'!$C$6))</x:f>
        <x:v>60</x:v>
      </x:c>
      <x:c r="E53" s="33" t="n">
        <x:f>D53*'Assumptions'!$C$8</x:f>
        <x:v>0</x:v>
      </x:c>
      <x:c r="F53" s="33" t="n">
        <x:f>(D53-E53)*'Assumptions'!$C$6/(1+'Assumptions'!$C$6)</x:f>
        <x:v>12</x:v>
      </x:c>
      <x:c r="G53" s="27" t="n">
        <x:f>D53-E53-F53</x:f>
        <x:v>48</x:v>
      </x:c>
      <x:c r="H53" s="33" t="n">
        <x:f>D53/(1+'Assumptions'!$C$6)*'Assumptions'!$C$60*(1-'Assumptions'!$C$8*'Assumptions'!$I$60)</x:f>
        <x:v>7.199999999999999</x:v>
      </x:c>
      <x:c r="I53" s="33" t="n">
        <x:f>(D53*'Assumptions'!$D$60+'Assumptions'!$E$60)*(1-'Assumptions'!$C$8*'Assumptions'!$J$60)</x:f>
        <x:v>0</x:v>
      </x:c>
      <x:c r="J53" s="33" t="n">
        <x:f>D53*'Assumptions'!$F$60*(1-'Assumptions'!$C$8*'Assumptions'!$K$60)</x:f>
        <x:v>0</x:v>
      </x:c>
      <x:c r="K53" s="33" t="n">
        <x:f>D53*'Assumptions'!$G$60*(1-'Assumptions'!$C$8*'Assumptions'!$L$60)</x:f>
        <x:v>0</x:v>
      </x:c>
      <x:c r="L53" s="33" t="n">
        <x:f>D53*'Assumptions'!$H$60*(1-'Assumptions'!$C$8*'Assumptions'!$J$60)</x:f>
        <x:v>0</x:v>
      </x:c>
      <x:c r="M53" s="35" t="n">
        <x:f>G53-SUM(H53:L53)</x:f>
        <x:v>40.8</x:v>
      </x:c>
      <x:c r="N53" s="2"/>
    </x:row>
    <x:row r="54" ht="34" customHeight="1">
      <x:c r="A54" s="2"/>
      <x:c r="B54" s="32" t="str">
        <x:f>'Assumptions'!B52</x:f>
        <x:v>Advanced annual</x:v>
      </x:c>
      <x:c r="C54" s="32" t="str">
        <x:f>'Assumptions'!B61</x:f>
        <x:v>Apple EU native standard</x:v>
      </x:c>
      <x:c r="D54" s="33" t="n">
        <x:f>IF('Assumptions'!$C$7=1,'Assumptions'!$D$52,'Assumptions'!$D$52*(1+'Assumptions'!$C$6))</x:f>
        <x:v>60</x:v>
      </x:c>
      <x:c r="E54" s="33" t="n">
        <x:f>D54*'Assumptions'!$C$8</x:f>
        <x:v>0</x:v>
      </x:c>
      <x:c r="F54" s="33" t="n">
        <x:f>(D54-E54)*'Assumptions'!$C$6/(1+'Assumptions'!$C$6)</x:f>
        <x:v>12</x:v>
      </x:c>
      <x:c r="G54" s="27" t="n">
        <x:f>D54-E54-F54</x:f>
        <x:v>48</x:v>
      </x:c>
      <x:c r="H54" s="33" t="n">
        <x:f>D54/(1+'Assumptions'!$C$6)*'Assumptions'!$C$61*(1-'Assumptions'!$C$8*'Assumptions'!$I$61)</x:f>
        <x:v>12.48</x:v>
      </x:c>
      <x:c r="I54" s="33" t="n">
        <x:f>(D54*'Assumptions'!$D$61+'Assumptions'!$E$61)*(1-'Assumptions'!$C$8*'Assumptions'!$J$61)</x:f>
        <x:v>0</x:v>
      </x:c>
      <x:c r="J54" s="33" t="n">
        <x:f>D54*'Assumptions'!$F$61*(1-'Assumptions'!$C$8*'Assumptions'!$K$61)</x:f>
        <x:v>0</x:v>
      </x:c>
      <x:c r="K54" s="33" t="n">
        <x:f>D54*'Assumptions'!$G$61*(1-'Assumptions'!$C$8*'Assumptions'!$L$61)</x:f>
        <x:v>0</x:v>
      </x:c>
      <x:c r="L54" s="33" t="n">
        <x:f>D54*'Assumptions'!$H$61*(1-'Assumptions'!$C$8*'Assumptions'!$J$61)</x:f>
        <x:v>0</x:v>
      </x:c>
      <x:c r="M54" s="35" t="n">
        <x:f>G54-SUM(H54:L54)</x:f>
        <x:v>35.519999999999996</x:v>
      </x:c>
      <x:c r="N54" s="2"/>
    </x:row>
    <x:row r="55" ht="34" customHeight="1">
      <x:c r="A55" s="2"/>
      <x:c r="B55" s="32" t="str">
        <x:f>'Assumptions'!B52</x:f>
        <x:v>Advanced annual</x:v>
      </x:c>
      <x:c r="C55" s="32" t="str">
        <x:f>'Assumptions'!B62</x:f>
        <x:v>Apple ordinary standard</x:v>
      </x:c>
      <x:c r="D55" s="33" t="n">
        <x:f>IF('Assumptions'!$C$7=1,'Assumptions'!$D$52,'Assumptions'!$D$52*(1+'Assumptions'!$C$6))</x:f>
        <x:v>60</x:v>
      </x:c>
      <x:c r="E55" s="33" t="n">
        <x:f>D55*'Assumptions'!$C$8</x:f>
        <x:v>0</x:v>
      </x:c>
      <x:c r="F55" s="33" t="n">
        <x:f>(D55-E55)*'Assumptions'!$C$6/(1+'Assumptions'!$C$6)</x:f>
        <x:v>12</x:v>
      </x:c>
      <x:c r="G55" s="27" t="n">
        <x:f>D55-E55-F55</x:f>
        <x:v>48</x:v>
      </x:c>
      <x:c r="H55" s="33" t="n">
        <x:f>D55/(1+'Assumptions'!$C$6)*'Assumptions'!$C$62*(1-'Assumptions'!$C$8*'Assumptions'!$I$62)</x:f>
        <x:v>14.399999999999999</x:v>
      </x:c>
      <x:c r="I55" s="33" t="n">
        <x:f>(D55*'Assumptions'!$D$62+'Assumptions'!$E$62)*(1-'Assumptions'!$C$8*'Assumptions'!$J$62)</x:f>
        <x:v>0</x:v>
      </x:c>
      <x:c r="J55" s="33" t="n">
        <x:f>D55*'Assumptions'!$F$62*(1-'Assumptions'!$C$8*'Assumptions'!$K$62)</x:f>
        <x:v>0</x:v>
      </x:c>
      <x:c r="K55" s="33" t="n">
        <x:f>D55*'Assumptions'!$G$62*(1-'Assumptions'!$C$8*'Assumptions'!$L$62)</x:f>
        <x:v>0</x:v>
      </x:c>
      <x:c r="L55" s="33" t="n">
        <x:f>D55*'Assumptions'!$H$62*(1-'Assumptions'!$C$8*'Assumptions'!$J$62)</x:f>
        <x:v>0</x:v>
      </x:c>
      <x:c r="M55" s="35" t="n">
        <x:f>G55-SUM(H55:L55)</x:f>
        <x:v>33.6</x:v>
      </x:c>
      <x:c r="N55" s="2"/>
    </x:row>
    <x:row r="56" ht="34" customHeight="1">
      <x:c r="A56" s="2"/>
      <x:c r="B56" s="32" t="str">
        <x:f>'Assumptions'!B52</x:f>
        <x:v>Advanced annual</x:v>
      </x:c>
      <x:c r="C56" s="32" t="str">
        <x:f>'Assumptions'!B63</x:f>
        <x:v>Web Stripe EEA card</x:v>
      </x:c>
      <x:c r="D56" s="33" t="n">
        <x:f>IF('Assumptions'!$C$7=1,'Assumptions'!$D$52,'Assumptions'!$D$52*(1+'Assumptions'!$C$6))</x:f>
        <x:v>60</x:v>
      </x:c>
      <x:c r="E56" s="33" t="n">
        <x:f>D56*'Assumptions'!$C$8</x:f>
        <x:v>0</x:v>
      </x:c>
      <x:c r="F56" s="33" t="n">
        <x:f>(D56-E56)*'Assumptions'!$C$6/(1+'Assumptions'!$C$6)</x:f>
        <x:v>12</x:v>
      </x:c>
      <x:c r="G56" s="27" t="n">
        <x:f>D56-E56-F56</x:f>
        <x:v>48</x:v>
      </x:c>
      <x:c r="H56" s="33" t="n">
        <x:f>D56/(1+'Assumptions'!$C$6)*'Assumptions'!$C$63*(1-'Assumptions'!$C$8*'Assumptions'!$I$63)</x:f>
        <x:v>0</x:v>
      </x:c>
      <x:c r="I56" s="33" t="n">
        <x:f>(D56*'Assumptions'!$D$63+'Assumptions'!$E$63)*(1-'Assumptions'!$C$8*'Assumptions'!$J$63)</x:f>
        <x:v>1.15</x:v>
      </x:c>
      <x:c r="J56" s="33" t="n">
        <x:f>D56*'Assumptions'!$F$63*(1-'Assumptions'!$C$8*'Assumptions'!$K$63)</x:f>
        <x:v>0.42</x:v>
      </x:c>
      <x:c r="K56" s="33" t="n">
        <x:f>D56*'Assumptions'!$G$63*(1-'Assumptions'!$C$8*'Assumptions'!$L$63)</x:f>
        <x:v>0.3</x:v>
      </x:c>
      <x:c r="L56" s="33" t="n">
        <x:f>D56*'Assumptions'!$H$63*(1-'Assumptions'!$C$8*'Assumptions'!$J$63)</x:f>
        <x:v>0</x:v>
      </x:c>
      <x:c r="M56" s="35" t="n">
        <x:f>G56-SUM(H56:L56)</x:f>
        <x:v>46.13</x:v>
      </x:c>
      <x:c r="N56" s="2"/>
    </x:row>
    <x:row r="57" ht="34" customHeight="1">
      <x:c r="A57" s="2"/>
      <x:c r="B57" s="32" t="str">
        <x:f>'Assumptions'!B52</x:f>
        <x:v>Advanced annual</x:v>
      </x:c>
      <x:c r="C57" s="32" t="str">
        <x:f>'Assumptions'!B64</x:f>
        <x:v>Web Stripe international</x:v>
      </x:c>
      <x:c r="D57" s="33" t="n">
        <x:f>IF('Assumptions'!$C$7=1,'Assumptions'!$D$52,'Assumptions'!$D$52*(1+'Assumptions'!$C$6))</x:f>
        <x:v>60</x:v>
      </x:c>
      <x:c r="E57" s="33" t="n">
        <x:f>D57*'Assumptions'!$C$8</x:f>
        <x:v>0</x:v>
      </x:c>
      <x:c r="F57" s="33" t="n">
        <x:f>(D57-E57)*'Assumptions'!$C$6/(1+'Assumptions'!$C$6)</x:f>
        <x:v>12</x:v>
      </x:c>
      <x:c r="G57" s="27" t="n">
        <x:f>D57-E57-F57</x:f>
        <x:v>48</x:v>
      </x:c>
      <x:c r="H57" s="33" t="n">
        <x:f>D57/(1+'Assumptions'!$C$6)*'Assumptions'!$C$64*(1-'Assumptions'!$C$8*'Assumptions'!$I$64)</x:f>
        <x:v>0</x:v>
      </x:c>
      <x:c r="I57" s="33" t="n">
        <x:f>(D57*'Assumptions'!$D$64+'Assumptions'!$E$64)*(1-'Assumptions'!$C$8*'Assumptions'!$J$64)</x:f>
        <x:v>2.14</x:v>
      </x:c>
      <x:c r="J57" s="33" t="n">
        <x:f>D57*'Assumptions'!$F$64*(1-'Assumptions'!$C$8*'Assumptions'!$K$64)</x:f>
        <x:v>0.42</x:v>
      </x:c>
      <x:c r="K57" s="33" t="n">
        <x:f>D57*'Assumptions'!$G$64*(1-'Assumptions'!$C$8*'Assumptions'!$L$64)</x:f>
        <x:v>0.3</x:v>
      </x:c>
      <x:c r="L57" s="33" t="n">
        <x:f>D57*'Assumptions'!$H$64*(1-'Assumptions'!$C$8*'Assumptions'!$J$64)</x:f>
        <x:v>0</x:v>
      </x:c>
      <x:c r="M57" s="35" t="n">
        <x:f>G57-SUM(H57:L57)</x:f>
        <x:v>45.14</x:v>
      </x:c>
      <x:c r="N57" s="2"/>
    </x:row>
    <x:row r="58" ht="34" customHeight="1">
      <x:c r="A58" s="2"/>
      <x:c r="B58" s="32" t="str">
        <x:f>'Assumptions'!B52</x:f>
        <x:v>Advanced annual</x:v>
      </x:c>
      <x:c r="C58" s="32" t="str">
        <x:f>'Assumptions'!B65</x:f>
        <x:v>Alternative reduced EEA</x:v>
      </x:c>
      <x:c r="D58" s="33" t="n">
        <x:f>IF('Assumptions'!$C$7=1,'Assumptions'!$D$52,'Assumptions'!$D$52*(1+'Assumptions'!$C$6))</x:f>
        <x:v>60</x:v>
      </x:c>
      <x:c r="E58" s="33" t="n">
        <x:f>D58*'Assumptions'!$C$8</x:f>
        <x:v>0</x:v>
      </x:c>
      <x:c r="F58" s="33" t="n">
        <x:f>(D58-E58)*'Assumptions'!$C$6/(1+'Assumptions'!$C$6)</x:f>
        <x:v>12</x:v>
      </x:c>
      <x:c r="G58" s="27" t="n">
        <x:f>D58-E58-F58</x:f>
        <x:v>48</x:v>
      </x:c>
      <x:c r="H58" s="33" t="n">
        <x:f>D58/(1+'Assumptions'!$C$6)*'Assumptions'!$C$65*(1-'Assumptions'!$C$8*'Assumptions'!$I$65)</x:f>
        <x:v>4.800000000000001</x:v>
      </x:c>
      <x:c r="I58" s="33" t="n">
        <x:f>(D58*'Assumptions'!$D$65+'Assumptions'!$E$65)*(1-'Assumptions'!$C$8*'Assumptions'!$J$65)</x:f>
        <x:v>1.15</x:v>
      </x:c>
      <x:c r="J58" s="33" t="n">
        <x:f>D58*'Assumptions'!$F$65*(1-'Assumptions'!$C$8*'Assumptions'!$K$65)</x:f>
        <x:v>0.42</x:v>
      </x:c>
      <x:c r="K58" s="33" t="n">
        <x:f>D58*'Assumptions'!$G$65*(1-'Assumptions'!$C$8*'Assumptions'!$L$65)</x:f>
        <x:v>0.3</x:v>
      </x:c>
      <x:c r="L58" s="33" t="n">
        <x:f>D58*'Assumptions'!$H$65*(1-'Assumptions'!$C$8*'Assumptions'!$J$65)</x:f>
        <x:v>0</x:v>
      </x:c>
      <x:c r="M58" s="35" t="n">
        <x:f>G58-SUM(H58:L58)</x:f>
        <x:v>41.33</x:v>
      </x:c>
      <x:c r="N58" s="2"/>
    </x:row>
    <x:row r="59" ht="34" customHeight="1">
      <x:c r="A59" s="2"/>
      <x:c r="B59" s="32" t="str">
        <x:f>'Assumptions'!B52</x:f>
        <x:v>Advanced annual</x:v>
      </x:c>
      <x:c r="C59" s="32" t="str">
        <x:f>'Assumptions'!B66</x:f>
        <x:v>Apple EU in-app standard</x:v>
      </x:c>
      <x:c r="D59" s="33" t="n">
        <x:f>IF('Assumptions'!$C$7=1,'Assumptions'!$D$52,'Assumptions'!$D$52*(1+'Assumptions'!$C$6))</x:f>
        <x:v>60</x:v>
      </x:c>
      <x:c r="E59" s="33" t="n">
        <x:f>D59*'Assumptions'!$C$8</x:f>
        <x:v>0</x:v>
      </x:c>
      <x:c r="F59" s="33" t="n">
        <x:f>(D59-E59)*'Assumptions'!$C$6/(1+'Assumptions'!$C$6)</x:f>
        <x:v>12</x:v>
      </x:c>
      <x:c r="G59" s="27" t="n">
        <x:f>D59-E59-F59</x:f>
        <x:v>48</x:v>
      </x:c>
      <x:c r="H59" s="33" t="n">
        <x:f>D59/(1+'Assumptions'!$C$6)*'Assumptions'!$C$66*(1-'Assumptions'!$C$8*'Assumptions'!$I$66)</x:f>
        <x:v>9.600000000000001</x:v>
      </x:c>
      <x:c r="I59" s="33" t="n">
        <x:f>(D59*'Assumptions'!$D$66+'Assumptions'!$E$66)*(1-'Assumptions'!$C$8*'Assumptions'!$J$66)</x:f>
        <x:v>1.15</x:v>
      </x:c>
      <x:c r="J59" s="33" t="n">
        <x:f>D59*'Assumptions'!$F$66*(1-'Assumptions'!$C$8*'Assumptions'!$K$66)</x:f>
        <x:v>0.42</x:v>
      </x:c>
      <x:c r="K59" s="33" t="n">
        <x:f>D59*'Assumptions'!$G$66*(1-'Assumptions'!$C$8*'Assumptions'!$L$66)</x:f>
        <x:v>0.3</x:v>
      </x:c>
      <x:c r="L59" s="33" t="n">
        <x:f>D59*'Assumptions'!$H$66*(1-'Assumptions'!$C$8*'Assumptions'!$J$66)</x:f>
        <x:v>0</x:v>
      </x:c>
      <x:c r="M59" s="35" t="n">
        <x:f>G59-SUM(H59:L59)</x:f>
        <x:v>36.53</x:v>
      </x:c>
      <x:c r="N59" s="2"/>
    </x:row>
    <x:row r="60" ht="34" customHeight="1">
      <x:c r="A60" s="2"/>
      <x:c r="B60" s="32" t="str">
        <x:f>'Assumptions'!B52</x:f>
        <x:v>Advanced annual</x:v>
      </x:c>
      <x:c r="C60" s="32" t="str">
        <x:f>'Assumptions'!B67</x:f>
        <x:v>Apple EU link standard</x:v>
      </x:c>
      <x:c r="D60" s="33" t="n">
        <x:f>IF('Assumptions'!$C$7=1,'Assumptions'!$D$52,'Assumptions'!$D$52*(1+'Assumptions'!$C$6))</x:f>
        <x:v>60</x:v>
      </x:c>
      <x:c r="E60" s="33" t="n">
        <x:f>D60*'Assumptions'!$C$8</x:f>
        <x:v>0</x:v>
      </x:c>
      <x:c r="F60" s="33" t="n">
        <x:f>(D60-E60)*'Assumptions'!$C$6/(1+'Assumptions'!$C$6)</x:f>
        <x:v>12</x:v>
      </x:c>
      <x:c r="G60" s="27" t="n">
        <x:f>D60-E60-F60</x:f>
        <x:v>48</x:v>
      </x:c>
      <x:c r="H60" s="33" t="n">
        <x:f>D60/(1+'Assumptions'!$C$6)*'Assumptions'!$C$67*(1-'Assumptions'!$C$8*'Assumptions'!$I$67)</x:f>
        <x:v>7.199999999999999</x:v>
      </x:c>
      <x:c r="I60" s="33" t="n">
        <x:f>(D60*'Assumptions'!$D$67+'Assumptions'!$E$67)*(1-'Assumptions'!$C$8*'Assumptions'!$J$67)</x:f>
        <x:v>1.15</x:v>
      </x:c>
      <x:c r="J60" s="33" t="n">
        <x:f>D60*'Assumptions'!$F$67*(1-'Assumptions'!$C$8*'Assumptions'!$K$67)</x:f>
        <x:v>0.42</x:v>
      </x:c>
      <x:c r="K60" s="33" t="n">
        <x:f>D60*'Assumptions'!$G$67*(1-'Assumptions'!$C$8*'Assumptions'!$L$67)</x:f>
        <x:v>0.3</x:v>
      </x:c>
      <x:c r="L60" s="33" t="n">
        <x:f>D60*'Assumptions'!$H$67*(1-'Assumptions'!$C$8*'Assumptions'!$J$67)</x:f>
        <x:v>0</x:v>
      </x:c>
      <x:c r="M60" s="35" t="n">
        <x:f>G60-SUM(H60:L60)</x:f>
        <x:v>38.93</x:v>
      </x:c>
      <x:c r="N60" s="2"/>
    </x:row>
    <x:row r="61" ht="34" customHeight="1">
      <x:c r="A61" s="2"/>
      <x:c r="B61" s="32" t="str">
        <x:f>'Assumptions'!B52</x:f>
        <x:v>Advanced annual</x:v>
      </x:c>
      <x:c r="C61" s="32" t="str">
        <x:f>'Assumptions'!B68</x:f>
        <x:v>Play US alternative</x:v>
      </x:c>
      <x:c r="D61" s="33" t="n">
        <x:f>IF('Assumptions'!$C$7=1,'Assumptions'!$D$52,'Assumptions'!$D$52*(1+'Assumptions'!$C$6))</x:f>
        <x:v>60</x:v>
      </x:c>
      <x:c r="E61" s="33" t="n">
        <x:f>D61*'Assumptions'!$C$8</x:f>
        <x:v>0</x:v>
      </x:c>
      <x:c r="F61" s="33" t="n">
        <x:f>(D61-E61)*'Assumptions'!$C$6/(1+'Assumptions'!$C$6)</x:f>
        <x:v>12</x:v>
      </x:c>
      <x:c r="G61" s="27" t="n">
        <x:f>D61-E61-F61</x:f>
        <x:v>48</x:v>
      </x:c>
      <x:c r="H61" s="33" t="n">
        <x:f>D61/(1+'Assumptions'!$C$6)*'Assumptions'!$C$68*(1-'Assumptions'!$C$8*'Assumptions'!$I$68)</x:f>
        <x:v>4.800000000000001</x:v>
      </x:c>
      <x:c r="I61" s="33" t="n">
        <x:f>(D61*'Assumptions'!$D$68+'Assumptions'!$E$68)*(1-'Assumptions'!$C$8*'Assumptions'!$J$68)</x:f>
        <x:v>2.14</x:v>
      </x:c>
      <x:c r="J61" s="33" t="n">
        <x:f>D61*'Assumptions'!$F$68*(1-'Assumptions'!$C$8*'Assumptions'!$K$68)</x:f>
        <x:v>0.42</x:v>
      </x:c>
      <x:c r="K61" s="33" t="n">
        <x:f>D61*'Assumptions'!$G$68*(1-'Assumptions'!$C$8*'Assumptions'!$L$68)</x:f>
        <x:v>0.3</x:v>
      </x:c>
      <x:c r="L61" s="33" t="n">
        <x:f>D61*'Assumptions'!$H$68*(1-'Assumptions'!$C$8*'Assumptions'!$J$68)</x:f>
        <x:v>0</x:v>
      </x:c>
      <x:c r="M61" s="35" t="n">
        <x:f>G61-SUM(H61:L61)</x:f>
        <x:v>40.339999999999996</x:v>
      </x:c>
      <x:c r="N61" s="2"/>
    </x:row>
    <x:row r="62" ht="34" customHeight="1">
      <x:c r="A62" s="2"/>
      <x:c r="B62" s="32" t="str">
        <x:f>'Assumptions'!B52</x:f>
        <x:v>Advanced annual</x:v>
      </x:c>
      <x:c r="C62" s="32" t="str">
        <x:f>'Assumptions'!B69</x:f>
        <x:v>US iOS link sensitivity</x:v>
      </x:c>
      <x:c r="D62" s="33" t="n">
        <x:f>IF('Assumptions'!$C$7=1,'Assumptions'!$D$52,'Assumptions'!$D$52*(1+'Assumptions'!$C$6))</x:f>
        <x:v>60</x:v>
      </x:c>
      <x:c r="E62" s="33" t="n">
        <x:f>D62*'Assumptions'!$C$8</x:f>
        <x:v>0</x:v>
      </x:c>
      <x:c r="F62" s="33" t="n">
        <x:f>(D62-E62)*'Assumptions'!$C$6/(1+'Assumptions'!$C$6)</x:f>
        <x:v>12</x:v>
      </x:c>
      <x:c r="G62" s="27" t="n">
        <x:f>D62-E62-F62</x:f>
        <x:v>48</x:v>
      </x:c>
      <x:c r="H62" s="33" t="n">
        <x:f>D62/(1+'Assumptions'!$C$6)*'Assumptions'!$C$69*(1-'Assumptions'!$C$8*'Assumptions'!$I$69)</x:f>
        <x:v>0</x:v>
      </x:c>
      <x:c r="I62" s="33" t="n">
        <x:f>(D62*'Assumptions'!$D$69+'Assumptions'!$E$69)*(1-'Assumptions'!$C$8*'Assumptions'!$J$69)</x:f>
        <x:v>2.14</x:v>
      </x:c>
      <x:c r="J62" s="33" t="n">
        <x:f>D62*'Assumptions'!$F$69*(1-'Assumptions'!$C$8*'Assumptions'!$K$69)</x:f>
        <x:v>0.42</x:v>
      </x:c>
      <x:c r="K62" s="33" t="n">
        <x:f>D62*'Assumptions'!$G$69*(1-'Assumptions'!$C$8*'Assumptions'!$L$69)</x:f>
        <x:v>0.3</x:v>
      </x:c>
      <x:c r="L62" s="33" t="n">
        <x:f>D62*'Assumptions'!$H$69*(1-'Assumptions'!$C$8*'Assumptions'!$J$69)</x:f>
        <x:v>0</x:v>
      </x:c>
      <x:c r="M62" s="35" t="n">
        <x:f>G62-SUM(H62:L62)</x:f>
        <x:v>45.14</x:v>
      </x:c>
      <x:c r="N62" s="2"/>
    </x:row>
    <x:row r="63" ht="34" customHeight="1">
      <x:c r="A63" s="2"/>
      <x:c r="B63" s="30" t="str">
        <x:f>'Assumptions'!B53</x:f>
        <x:v>Ultimate monthly</x:v>
      </x:c>
      <x:c r="C63" s="30" t="str">
        <x:f>'Assumptions'!B60</x:f>
        <x:v>Native reduced / Play</x:v>
      </x:c>
      <x:c r="D63" s="31" t="n">
        <x:f>IF('Assumptions'!$C$7=1,'Assumptions'!$D$53,'Assumptions'!$D$53*(1+'Assumptions'!$C$6))</x:f>
        <x:v>10</x:v>
      </x:c>
      <x:c r="E63" s="31" t="n">
        <x:f>D63*'Assumptions'!$C$8</x:f>
        <x:v>0</x:v>
      </x:c>
      <x:c r="F63" s="31" t="n">
        <x:f>(D63-E63)*'Assumptions'!$C$6/(1+'Assumptions'!$C$6)</x:f>
        <x:v>2</x:v>
      </x:c>
      <x:c r="G63" s="22" t="n">
        <x:f>D63-E63-F63</x:f>
        <x:v>8</x:v>
      </x:c>
      <x:c r="H63" s="31" t="n">
        <x:f>D63/(1+'Assumptions'!$C$6)*'Assumptions'!$C$60*(1-'Assumptions'!$C$8*'Assumptions'!$I$60)</x:f>
        <x:v>1.2</x:v>
      </x:c>
      <x:c r="I63" s="31" t="n">
        <x:f>(D63*'Assumptions'!$D$60+'Assumptions'!$E$60)*(1-'Assumptions'!$C$8*'Assumptions'!$J$60)</x:f>
        <x:v>0</x:v>
      </x:c>
      <x:c r="J63" s="31" t="n">
        <x:f>D63*'Assumptions'!$F$60*(1-'Assumptions'!$C$8*'Assumptions'!$K$60)</x:f>
        <x:v>0</x:v>
      </x:c>
      <x:c r="K63" s="31" t="n">
        <x:f>D63*'Assumptions'!$G$60*(1-'Assumptions'!$C$8*'Assumptions'!$L$60)</x:f>
        <x:v>0</x:v>
      </x:c>
      <x:c r="L63" s="31" t="n">
        <x:f>D63*'Assumptions'!$H$60*(1-'Assumptions'!$C$8*'Assumptions'!$J$60)</x:f>
        <x:v>0</x:v>
      </x:c>
      <x:c r="M63" s="34" t="n">
        <x:f>G63-SUM(H63:L63)</x:f>
        <x:v>6.8</x:v>
      </x:c>
      <x:c r="N63" s="2"/>
    </x:row>
    <x:row r="64" ht="34" customHeight="1">
      <x:c r="A64" s="2"/>
      <x:c r="B64" s="30" t="str">
        <x:f>'Assumptions'!B53</x:f>
        <x:v>Ultimate monthly</x:v>
      </x:c>
      <x:c r="C64" s="30" t="str">
        <x:f>'Assumptions'!B61</x:f>
        <x:v>Apple EU native standard</x:v>
      </x:c>
      <x:c r="D64" s="31" t="n">
        <x:f>IF('Assumptions'!$C$7=1,'Assumptions'!$D$53,'Assumptions'!$D$53*(1+'Assumptions'!$C$6))</x:f>
        <x:v>10</x:v>
      </x:c>
      <x:c r="E64" s="31" t="n">
        <x:f>D64*'Assumptions'!$C$8</x:f>
        <x:v>0</x:v>
      </x:c>
      <x:c r="F64" s="31" t="n">
        <x:f>(D64-E64)*'Assumptions'!$C$6/(1+'Assumptions'!$C$6)</x:f>
        <x:v>2</x:v>
      </x:c>
      <x:c r="G64" s="22" t="n">
        <x:f>D64-E64-F64</x:f>
        <x:v>8</x:v>
      </x:c>
      <x:c r="H64" s="31" t="n">
        <x:f>D64/(1+'Assumptions'!$C$6)*'Assumptions'!$C$61*(1-'Assumptions'!$C$8*'Assumptions'!$I$61)</x:f>
        <x:v>2.08</x:v>
      </x:c>
      <x:c r="I64" s="31" t="n">
        <x:f>(D64*'Assumptions'!$D$61+'Assumptions'!$E$61)*(1-'Assumptions'!$C$8*'Assumptions'!$J$61)</x:f>
        <x:v>0</x:v>
      </x:c>
      <x:c r="J64" s="31" t="n">
        <x:f>D64*'Assumptions'!$F$61*(1-'Assumptions'!$C$8*'Assumptions'!$K$61)</x:f>
        <x:v>0</x:v>
      </x:c>
      <x:c r="K64" s="31" t="n">
        <x:f>D64*'Assumptions'!$G$61*(1-'Assumptions'!$C$8*'Assumptions'!$L$61)</x:f>
        <x:v>0</x:v>
      </x:c>
      <x:c r="L64" s="31" t="n">
        <x:f>D64*'Assumptions'!$H$61*(1-'Assumptions'!$C$8*'Assumptions'!$J$61)</x:f>
        <x:v>0</x:v>
      </x:c>
      <x:c r="M64" s="34" t="n">
        <x:f>G64-SUM(H64:L64)</x:f>
        <x:v>5.92</x:v>
      </x:c>
      <x:c r="N64" s="2"/>
    </x:row>
    <x:row r="65" ht="34" customHeight="1">
      <x:c r="A65" s="2"/>
      <x:c r="B65" s="30" t="str">
        <x:f>'Assumptions'!B53</x:f>
        <x:v>Ultimate monthly</x:v>
      </x:c>
      <x:c r="C65" s="30" t="str">
        <x:f>'Assumptions'!B62</x:f>
        <x:v>Apple ordinary standard</x:v>
      </x:c>
      <x:c r="D65" s="31" t="n">
        <x:f>IF('Assumptions'!$C$7=1,'Assumptions'!$D$53,'Assumptions'!$D$53*(1+'Assumptions'!$C$6))</x:f>
        <x:v>10</x:v>
      </x:c>
      <x:c r="E65" s="31" t="n">
        <x:f>D65*'Assumptions'!$C$8</x:f>
        <x:v>0</x:v>
      </x:c>
      <x:c r="F65" s="31" t="n">
        <x:f>(D65-E65)*'Assumptions'!$C$6/(1+'Assumptions'!$C$6)</x:f>
        <x:v>2</x:v>
      </x:c>
      <x:c r="G65" s="22" t="n">
        <x:f>D65-E65-F65</x:f>
        <x:v>8</x:v>
      </x:c>
      <x:c r="H65" s="31" t="n">
        <x:f>D65/(1+'Assumptions'!$C$6)*'Assumptions'!$C$62*(1-'Assumptions'!$C$8*'Assumptions'!$I$62)</x:f>
        <x:v>2.4</x:v>
      </x:c>
      <x:c r="I65" s="31" t="n">
        <x:f>(D65*'Assumptions'!$D$62+'Assumptions'!$E$62)*(1-'Assumptions'!$C$8*'Assumptions'!$J$62)</x:f>
        <x:v>0</x:v>
      </x:c>
      <x:c r="J65" s="31" t="n">
        <x:f>D65*'Assumptions'!$F$62*(1-'Assumptions'!$C$8*'Assumptions'!$K$62)</x:f>
        <x:v>0</x:v>
      </x:c>
      <x:c r="K65" s="31" t="n">
        <x:f>D65*'Assumptions'!$G$62*(1-'Assumptions'!$C$8*'Assumptions'!$L$62)</x:f>
        <x:v>0</x:v>
      </x:c>
      <x:c r="L65" s="31" t="n">
        <x:f>D65*'Assumptions'!$H$62*(1-'Assumptions'!$C$8*'Assumptions'!$J$62)</x:f>
        <x:v>0</x:v>
      </x:c>
      <x:c r="M65" s="34" t="n">
        <x:f>G65-SUM(H65:L65)</x:f>
        <x:v>5.6</x:v>
      </x:c>
      <x:c r="N65" s="2"/>
    </x:row>
    <x:row r="66" ht="34" customHeight="1">
      <x:c r="A66" s="2"/>
      <x:c r="B66" s="30" t="str">
        <x:f>'Assumptions'!B53</x:f>
        <x:v>Ultimate monthly</x:v>
      </x:c>
      <x:c r="C66" s="30" t="str">
        <x:f>'Assumptions'!B63</x:f>
        <x:v>Web Stripe EEA card</x:v>
      </x:c>
      <x:c r="D66" s="31" t="n">
        <x:f>IF('Assumptions'!$C$7=1,'Assumptions'!$D$53,'Assumptions'!$D$53*(1+'Assumptions'!$C$6))</x:f>
        <x:v>10</x:v>
      </x:c>
      <x:c r="E66" s="31" t="n">
        <x:f>D66*'Assumptions'!$C$8</x:f>
        <x:v>0</x:v>
      </x:c>
      <x:c r="F66" s="31" t="n">
        <x:f>(D66-E66)*'Assumptions'!$C$6/(1+'Assumptions'!$C$6)</x:f>
        <x:v>2</x:v>
      </x:c>
      <x:c r="G66" s="22" t="n">
        <x:f>D66-E66-F66</x:f>
        <x:v>8</x:v>
      </x:c>
      <x:c r="H66" s="31" t="n">
        <x:f>D66/(1+'Assumptions'!$C$6)*'Assumptions'!$C$63*(1-'Assumptions'!$C$8*'Assumptions'!$I$63)</x:f>
        <x:v>0</x:v>
      </x:c>
      <x:c r="I66" s="31" t="n">
        <x:f>(D66*'Assumptions'!$D$63+'Assumptions'!$E$63)*(1-'Assumptions'!$C$8*'Assumptions'!$J$63)</x:f>
        <x:v>0.4</x:v>
      </x:c>
      <x:c r="J66" s="31" t="n">
        <x:f>D66*'Assumptions'!$F$63*(1-'Assumptions'!$C$8*'Assumptions'!$K$63)</x:f>
        <x:v>0.07</x:v>
      </x:c>
      <x:c r="K66" s="31" t="n">
        <x:f>D66*'Assumptions'!$G$63*(1-'Assumptions'!$C$8*'Assumptions'!$L$63)</x:f>
        <x:v>0.05</x:v>
      </x:c>
      <x:c r="L66" s="31" t="n">
        <x:f>D66*'Assumptions'!$H$63*(1-'Assumptions'!$C$8*'Assumptions'!$J$63)</x:f>
        <x:v>0</x:v>
      </x:c>
      <x:c r="M66" s="34" t="n">
        <x:f>G66-SUM(H66:L66)</x:f>
        <x:v>7.48</x:v>
      </x:c>
      <x:c r="N66" s="2"/>
    </x:row>
    <x:row r="67" ht="34" customHeight="1">
      <x:c r="A67" s="2"/>
      <x:c r="B67" s="30" t="str">
        <x:f>'Assumptions'!B53</x:f>
        <x:v>Ultimate monthly</x:v>
      </x:c>
      <x:c r="C67" s="30" t="str">
        <x:f>'Assumptions'!B64</x:f>
        <x:v>Web Stripe international</x:v>
      </x:c>
      <x:c r="D67" s="31" t="n">
        <x:f>IF('Assumptions'!$C$7=1,'Assumptions'!$D$53,'Assumptions'!$D$53*(1+'Assumptions'!$C$6))</x:f>
        <x:v>10</x:v>
      </x:c>
      <x:c r="E67" s="31" t="n">
        <x:f>D67*'Assumptions'!$C$8</x:f>
        <x:v>0</x:v>
      </x:c>
      <x:c r="F67" s="31" t="n">
        <x:f>(D67-E67)*'Assumptions'!$C$6/(1+'Assumptions'!$C$6)</x:f>
        <x:v>2</x:v>
      </x:c>
      <x:c r="G67" s="22" t="n">
        <x:f>D67-E67-F67</x:f>
        <x:v>8</x:v>
      </x:c>
      <x:c r="H67" s="31" t="n">
        <x:f>D67/(1+'Assumptions'!$C$6)*'Assumptions'!$C$64*(1-'Assumptions'!$C$8*'Assumptions'!$I$64)</x:f>
        <x:v>0</x:v>
      </x:c>
      <x:c r="I67" s="31" t="n">
        <x:f>(D67*'Assumptions'!$D$64+'Assumptions'!$E$64)*(1-'Assumptions'!$C$8*'Assumptions'!$J$64)</x:f>
        <x:v>0.565</x:v>
      </x:c>
      <x:c r="J67" s="31" t="n">
        <x:f>D67*'Assumptions'!$F$64*(1-'Assumptions'!$C$8*'Assumptions'!$K$64)</x:f>
        <x:v>0.07</x:v>
      </x:c>
      <x:c r="K67" s="31" t="n">
        <x:f>D67*'Assumptions'!$G$64*(1-'Assumptions'!$C$8*'Assumptions'!$L$64)</x:f>
        <x:v>0.05</x:v>
      </x:c>
      <x:c r="L67" s="31" t="n">
        <x:f>D67*'Assumptions'!$H$64*(1-'Assumptions'!$C$8*'Assumptions'!$J$64)</x:f>
        <x:v>0</x:v>
      </x:c>
      <x:c r="M67" s="34" t="n">
        <x:f>G67-SUM(H67:L67)</x:f>
        <x:v>7.3149999999999995</x:v>
      </x:c>
      <x:c r="N67" s="2"/>
    </x:row>
    <x:row r="68" ht="34" customHeight="1">
      <x:c r="A68" s="2"/>
      <x:c r="B68" s="30" t="str">
        <x:f>'Assumptions'!B53</x:f>
        <x:v>Ultimate monthly</x:v>
      </x:c>
      <x:c r="C68" s="30" t="str">
        <x:f>'Assumptions'!B65</x:f>
        <x:v>Alternative reduced EEA</x:v>
      </x:c>
      <x:c r="D68" s="31" t="n">
        <x:f>IF('Assumptions'!$C$7=1,'Assumptions'!$D$53,'Assumptions'!$D$53*(1+'Assumptions'!$C$6))</x:f>
        <x:v>10</x:v>
      </x:c>
      <x:c r="E68" s="31" t="n">
        <x:f>D68*'Assumptions'!$C$8</x:f>
        <x:v>0</x:v>
      </x:c>
      <x:c r="F68" s="31" t="n">
        <x:f>(D68-E68)*'Assumptions'!$C$6/(1+'Assumptions'!$C$6)</x:f>
        <x:v>2</x:v>
      </x:c>
      <x:c r="G68" s="22" t="n">
        <x:f>D68-E68-F68</x:f>
        <x:v>8</x:v>
      </x:c>
      <x:c r="H68" s="31" t="n">
        <x:f>D68/(1+'Assumptions'!$C$6)*'Assumptions'!$C$65*(1-'Assumptions'!$C$8*'Assumptions'!$I$65)</x:f>
        <x:v>0.8</x:v>
      </x:c>
      <x:c r="I68" s="31" t="n">
        <x:f>(D68*'Assumptions'!$D$65+'Assumptions'!$E$65)*(1-'Assumptions'!$C$8*'Assumptions'!$J$65)</x:f>
        <x:v>0.4</x:v>
      </x:c>
      <x:c r="J68" s="31" t="n">
        <x:f>D68*'Assumptions'!$F$65*(1-'Assumptions'!$C$8*'Assumptions'!$K$65)</x:f>
        <x:v>0.07</x:v>
      </x:c>
      <x:c r="K68" s="31" t="n">
        <x:f>D68*'Assumptions'!$G$65*(1-'Assumptions'!$C$8*'Assumptions'!$L$65)</x:f>
        <x:v>0.05</x:v>
      </x:c>
      <x:c r="L68" s="31" t="n">
        <x:f>D68*'Assumptions'!$H$65*(1-'Assumptions'!$C$8*'Assumptions'!$J$65)</x:f>
        <x:v>0</x:v>
      </x:c>
      <x:c r="M68" s="34" t="n">
        <x:f>G68-SUM(H68:L68)</x:f>
        <x:v>6.68</x:v>
      </x:c>
      <x:c r="N68" s="2"/>
    </x:row>
    <x:row r="69" ht="34" customHeight="1">
      <x:c r="A69" s="2"/>
      <x:c r="B69" s="30" t="str">
        <x:f>'Assumptions'!B53</x:f>
        <x:v>Ultimate monthly</x:v>
      </x:c>
      <x:c r="C69" s="30" t="str">
        <x:f>'Assumptions'!B66</x:f>
        <x:v>Apple EU in-app standard</x:v>
      </x:c>
      <x:c r="D69" s="31" t="n">
        <x:f>IF('Assumptions'!$C$7=1,'Assumptions'!$D$53,'Assumptions'!$D$53*(1+'Assumptions'!$C$6))</x:f>
        <x:v>10</x:v>
      </x:c>
      <x:c r="E69" s="31" t="n">
        <x:f>D69*'Assumptions'!$C$8</x:f>
        <x:v>0</x:v>
      </x:c>
      <x:c r="F69" s="31" t="n">
        <x:f>(D69-E69)*'Assumptions'!$C$6/(1+'Assumptions'!$C$6)</x:f>
        <x:v>2</x:v>
      </x:c>
      <x:c r="G69" s="22" t="n">
        <x:f>D69-E69-F69</x:f>
        <x:v>8</x:v>
      </x:c>
      <x:c r="H69" s="31" t="n">
        <x:f>D69/(1+'Assumptions'!$C$6)*'Assumptions'!$C$66*(1-'Assumptions'!$C$8*'Assumptions'!$I$66)</x:f>
        <x:v>1.6</x:v>
      </x:c>
      <x:c r="I69" s="31" t="n">
        <x:f>(D69*'Assumptions'!$D$66+'Assumptions'!$E$66)*(1-'Assumptions'!$C$8*'Assumptions'!$J$66)</x:f>
        <x:v>0.4</x:v>
      </x:c>
      <x:c r="J69" s="31" t="n">
        <x:f>D69*'Assumptions'!$F$66*(1-'Assumptions'!$C$8*'Assumptions'!$K$66)</x:f>
        <x:v>0.07</x:v>
      </x:c>
      <x:c r="K69" s="31" t="n">
        <x:f>D69*'Assumptions'!$G$66*(1-'Assumptions'!$C$8*'Assumptions'!$L$66)</x:f>
        <x:v>0.05</x:v>
      </x:c>
      <x:c r="L69" s="31" t="n">
        <x:f>D69*'Assumptions'!$H$66*(1-'Assumptions'!$C$8*'Assumptions'!$J$66)</x:f>
        <x:v>0</x:v>
      </x:c>
      <x:c r="M69" s="34" t="n">
        <x:f>G69-SUM(H69:L69)</x:f>
        <x:v>5.880000000000001</x:v>
      </x:c>
      <x:c r="N69" s="2"/>
    </x:row>
    <x:row r="70" ht="34" customHeight="1">
      <x:c r="A70" s="2"/>
      <x:c r="B70" s="30" t="str">
        <x:f>'Assumptions'!B53</x:f>
        <x:v>Ultimate monthly</x:v>
      </x:c>
      <x:c r="C70" s="30" t="str">
        <x:f>'Assumptions'!B67</x:f>
        <x:v>Apple EU link standard</x:v>
      </x:c>
      <x:c r="D70" s="31" t="n">
        <x:f>IF('Assumptions'!$C$7=1,'Assumptions'!$D$53,'Assumptions'!$D$53*(1+'Assumptions'!$C$6))</x:f>
        <x:v>10</x:v>
      </x:c>
      <x:c r="E70" s="31" t="n">
        <x:f>D70*'Assumptions'!$C$8</x:f>
        <x:v>0</x:v>
      </x:c>
      <x:c r="F70" s="31" t="n">
        <x:f>(D70-E70)*'Assumptions'!$C$6/(1+'Assumptions'!$C$6)</x:f>
        <x:v>2</x:v>
      </x:c>
      <x:c r="G70" s="22" t="n">
        <x:f>D70-E70-F70</x:f>
        <x:v>8</x:v>
      </x:c>
      <x:c r="H70" s="31" t="n">
        <x:f>D70/(1+'Assumptions'!$C$6)*'Assumptions'!$C$67*(1-'Assumptions'!$C$8*'Assumptions'!$I$67)</x:f>
        <x:v>1.2</x:v>
      </x:c>
      <x:c r="I70" s="31" t="n">
        <x:f>(D70*'Assumptions'!$D$67+'Assumptions'!$E$67)*(1-'Assumptions'!$C$8*'Assumptions'!$J$67)</x:f>
        <x:v>0.4</x:v>
      </x:c>
      <x:c r="J70" s="31" t="n">
        <x:f>D70*'Assumptions'!$F$67*(1-'Assumptions'!$C$8*'Assumptions'!$K$67)</x:f>
        <x:v>0.07</x:v>
      </x:c>
      <x:c r="K70" s="31" t="n">
        <x:f>D70*'Assumptions'!$G$67*(1-'Assumptions'!$C$8*'Assumptions'!$L$67)</x:f>
        <x:v>0.05</x:v>
      </x:c>
      <x:c r="L70" s="31" t="n">
        <x:f>D70*'Assumptions'!$H$67*(1-'Assumptions'!$C$8*'Assumptions'!$J$67)</x:f>
        <x:v>0</x:v>
      </x:c>
      <x:c r="M70" s="34" t="n">
        <x:f>G70-SUM(H70:L70)</x:f>
        <x:v>6.279999999999999</x:v>
      </x:c>
      <x:c r="N70" s="2"/>
    </x:row>
    <x:row r="71" ht="34" customHeight="1">
      <x:c r="A71" s="2"/>
      <x:c r="B71" s="30" t="str">
        <x:f>'Assumptions'!B53</x:f>
        <x:v>Ultimate monthly</x:v>
      </x:c>
      <x:c r="C71" s="30" t="str">
        <x:f>'Assumptions'!B68</x:f>
        <x:v>Play US alternative</x:v>
      </x:c>
      <x:c r="D71" s="31" t="n">
        <x:f>IF('Assumptions'!$C$7=1,'Assumptions'!$D$53,'Assumptions'!$D$53*(1+'Assumptions'!$C$6))</x:f>
        <x:v>10</x:v>
      </x:c>
      <x:c r="E71" s="31" t="n">
        <x:f>D71*'Assumptions'!$C$8</x:f>
        <x:v>0</x:v>
      </x:c>
      <x:c r="F71" s="31" t="n">
        <x:f>(D71-E71)*'Assumptions'!$C$6/(1+'Assumptions'!$C$6)</x:f>
        <x:v>2</x:v>
      </x:c>
      <x:c r="G71" s="22" t="n">
        <x:f>D71-E71-F71</x:f>
        <x:v>8</x:v>
      </x:c>
      <x:c r="H71" s="31" t="n">
        <x:f>D71/(1+'Assumptions'!$C$6)*'Assumptions'!$C$68*(1-'Assumptions'!$C$8*'Assumptions'!$I$68)</x:f>
        <x:v>0.8</x:v>
      </x:c>
      <x:c r="I71" s="31" t="n">
        <x:f>(D71*'Assumptions'!$D$68+'Assumptions'!$E$68)*(1-'Assumptions'!$C$8*'Assumptions'!$J$68)</x:f>
        <x:v>0.565</x:v>
      </x:c>
      <x:c r="J71" s="31" t="n">
        <x:f>D71*'Assumptions'!$F$68*(1-'Assumptions'!$C$8*'Assumptions'!$K$68)</x:f>
        <x:v>0.07</x:v>
      </x:c>
      <x:c r="K71" s="31" t="n">
        <x:f>D71*'Assumptions'!$G$68*(1-'Assumptions'!$C$8*'Assumptions'!$L$68)</x:f>
        <x:v>0.05</x:v>
      </x:c>
      <x:c r="L71" s="31" t="n">
        <x:f>D71*'Assumptions'!$H$68*(1-'Assumptions'!$C$8*'Assumptions'!$J$68)</x:f>
        <x:v>0</x:v>
      </x:c>
      <x:c r="M71" s="34" t="n">
        <x:f>G71-SUM(H71:L71)</x:f>
        <x:v>6.515</x:v>
      </x:c>
      <x:c r="N71" s="2"/>
    </x:row>
    <x:row r="72" ht="34" customHeight="1">
      <x:c r="A72" s="2"/>
      <x:c r="B72" s="30" t="str">
        <x:f>'Assumptions'!B53</x:f>
        <x:v>Ultimate monthly</x:v>
      </x:c>
      <x:c r="C72" s="30" t="str">
        <x:f>'Assumptions'!B69</x:f>
        <x:v>US iOS link sensitivity</x:v>
      </x:c>
      <x:c r="D72" s="31" t="n">
        <x:f>IF('Assumptions'!$C$7=1,'Assumptions'!$D$53,'Assumptions'!$D$53*(1+'Assumptions'!$C$6))</x:f>
        <x:v>10</x:v>
      </x:c>
      <x:c r="E72" s="31" t="n">
        <x:f>D72*'Assumptions'!$C$8</x:f>
        <x:v>0</x:v>
      </x:c>
      <x:c r="F72" s="31" t="n">
        <x:f>(D72-E72)*'Assumptions'!$C$6/(1+'Assumptions'!$C$6)</x:f>
        <x:v>2</x:v>
      </x:c>
      <x:c r="G72" s="22" t="n">
        <x:f>D72-E72-F72</x:f>
        <x:v>8</x:v>
      </x:c>
      <x:c r="H72" s="31" t="n">
        <x:f>D72/(1+'Assumptions'!$C$6)*'Assumptions'!$C$69*(1-'Assumptions'!$C$8*'Assumptions'!$I$69)</x:f>
        <x:v>0</x:v>
      </x:c>
      <x:c r="I72" s="31" t="n">
        <x:f>(D72*'Assumptions'!$D$69+'Assumptions'!$E$69)*(1-'Assumptions'!$C$8*'Assumptions'!$J$69)</x:f>
        <x:v>0.565</x:v>
      </x:c>
      <x:c r="J72" s="31" t="n">
        <x:f>D72*'Assumptions'!$F$69*(1-'Assumptions'!$C$8*'Assumptions'!$K$69)</x:f>
        <x:v>0.07</x:v>
      </x:c>
      <x:c r="K72" s="31" t="n">
        <x:f>D72*'Assumptions'!$G$69*(1-'Assumptions'!$C$8*'Assumptions'!$L$69)</x:f>
        <x:v>0.05</x:v>
      </x:c>
      <x:c r="L72" s="31" t="n">
        <x:f>D72*'Assumptions'!$H$69*(1-'Assumptions'!$C$8*'Assumptions'!$J$69)</x:f>
        <x:v>0</x:v>
      </x:c>
      <x:c r="M72" s="34" t="n">
        <x:f>G72-SUM(H72:L72)</x:f>
        <x:v>7.3149999999999995</x:v>
      </x:c>
      <x:c r="N72" s="2"/>
    </x:row>
    <x:row r="73" ht="34" customHeight="1">
      <x:c r="A73" s="2"/>
      <x:c r="B73" s="32" t="str">
        <x:f>'Assumptions'!B54</x:f>
        <x:v>Ultimate annual</x:v>
      </x:c>
      <x:c r="C73" s="32" t="str">
        <x:f>'Assumptions'!B60</x:f>
        <x:v>Native reduced / Play</x:v>
      </x:c>
      <x:c r="D73" s="33" t="n">
        <x:f>IF('Assumptions'!$C$7=1,'Assumptions'!$D$54,'Assumptions'!$D$54*(1+'Assumptions'!$C$6))</x:f>
        <x:v>100</x:v>
      </x:c>
      <x:c r="E73" s="33" t="n">
        <x:f>D73*'Assumptions'!$C$8</x:f>
        <x:v>0</x:v>
      </x:c>
      <x:c r="F73" s="33" t="n">
        <x:f>(D73-E73)*'Assumptions'!$C$6/(1+'Assumptions'!$C$6)</x:f>
        <x:v>20</x:v>
      </x:c>
      <x:c r="G73" s="27" t="n">
        <x:f>D73-E73-F73</x:f>
        <x:v>80</x:v>
      </x:c>
      <x:c r="H73" s="33" t="n">
        <x:f>D73/(1+'Assumptions'!$C$6)*'Assumptions'!$C$60*(1-'Assumptions'!$C$8*'Assumptions'!$I$60)</x:f>
        <x:v>12</x:v>
      </x:c>
      <x:c r="I73" s="33" t="n">
        <x:f>(D73*'Assumptions'!$D$60+'Assumptions'!$E$60)*(1-'Assumptions'!$C$8*'Assumptions'!$J$60)</x:f>
        <x:v>0</x:v>
      </x:c>
      <x:c r="J73" s="33" t="n">
        <x:f>D73*'Assumptions'!$F$60*(1-'Assumptions'!$C$8*'Assumptions'!$K$60)</x:f>
        <x:v>0</x:v>
      </x:c>
      <x:c r="K73" s="33" t="n">
        <x:f>D73*'Assumptions'!$G$60*(1-'Assumptions'!$C$8*'Assumptions'!$L$60)</x:f>
        <x:v>0</x:v>
      </x:c>
      <x:c r="L73" s="33" t="n">
        <x:f>D73*'Assumptions'!$H$60*(1-'Assumptions'!$C$8*'Assumptions'!$J$60)</x:f>
        <x:v>0</x:v>
      </x:c>
      <x:c r="M73" s="35" t="n">
        <x:f>G73-SUM(H73:L73)</x:f>
        <x:v>68</x:v>
      </x:c>
      <x:c r="N73" s="2"/>
    </x:row>
    <x:row r="74" ht="34" customHeight="1">
      <x:c r="A74" s="2"/>
      <x:c r="B74" s="32" t="str">
        <x:f>'Assumptions'!B54</x:f>
        <x:v>Ultimate annual</x:v>
      </x:c>
      <x:c r="C74" s="32" t="str">
        <x:f>'Assumptions'!B61</x:f>
        <x:v>Apple EU native standard</x:v>
      </x:c>
      <x:c r="D74" s="33" t="n">
        <x:f>IF('Assumptions'!$C$7=1,'Assumptions'!$D$54,'Assumptions'!$D$54*(1+'Assumptions'!$C$6))</x:f>
        <x:v>100</x:v>
      </x:c>
      <x:c r="E74" s="33" t="n">
        <x:f>D74*'Assumptions'!$C$8</x:f>
        <x:v>0</x:v>
      </x:c>
      <x:c r="F74" s="33" t="n">
        <x:f>(D74-E74)*'Assumptions'!$C$6/(1+'Assumptions'!$C$6)</x:f>
        <x:v>20</x:v>
      </x:c>
      <x:c r="G74" s="27" t="n">
        <x:f>D74-E74-F74</x:f>
        <x:v>80</x:v>
      </x:c>
      <x:c r="H74" s="33" t="n">
        <x:f>D74/(1+'Assumptions'!$C$6)*'Assumptions'!$C$61*(1-'Assumptions'!$C$8*'Assumptions'!$I$61)</x:f>
        <x:v>20.8</x:v>
      </x:c>
      <x:c r="I74" s="33" t="n">
        <x:f>(D74*'Assumptions'!$D$61+'Assumptions'!$E$61)*(1-'Assumptions'!$C$8*'Assumptions'!$J$61)</x:f>
        <x:v>0</x:v>
      </x:c>
      <x:c r="J74" s="33" t="n">
        <x:f>D74*'Assumptions'!$F$61*(1-'Assumptions'!$C$8*'Assumptions'!$K$61)</x:f>
        <x:v>0</x:v>
      </x:c>
      <x:c r="K74" s="33" t="n">
        <x:f>D74*'Assumptions'!$G$61*(1-'Assumptions'!$C$8*'Assumptions'!$L$61)</x:f>
        <x:v>0</x:v>
      </x:c>
      <x:c r="L74" s="33" t="n">
        <x:f>D74*'Assumptions'!$H$61*(1-'Assumptions'!$C$8*'Assumptions'!$J$61)</x:f>
        <x:v>0</x:v>
      </x:c>
      <x:c r="M74" s="35" t="n">
        <x:f>G74-SUM(H74:L74)</x:f>
        <x:v>59.2</x:v>
      </x:c>
      <x:c r="N74" s="2"/>
    </x:row>
    <x:row r="75" ht="34" customHeight="1">
      <x:c r="A75" s="2"/>
      <x:c r="B75" s="32" t="str">
        <x:f>'Assumptions'!B54</x:f>
        <x:v>Ultimate annual</x:v>
      </x:c>
      <x:c r="C75" s="32" t="str">
        <x:f>'Assumptions'!B62</x:f>
        <x:v>Apple ordinary standard</x:v>
      </x:c>
      <x:c r="D75" s="33" t="n">
        <x:f>IF('Assumptions'!$C$7=1,'Assumptions'!$D$54,'Assumptions'!$D$54*(1+'Assumptions'!$C$6))</x:f>
        <x:v>100</x:v>
      </x:c>
      <x:c r="E75" s="33" t="n">
        <x:f>D75*'Assumptions'!$C$8</x:f>
        <x:v>0</x:v>
      </x:c>
      <x:c r="F75" s="33" t="n">
        <x:f>(D75-E75)*'Assumptions'!$C$6/(1+'Assumptions'!$C$6)</x:f>
        <x:v>20</x:v>
      </x:c>
      <x:c r="G75" s="27" t="n">
        <x:f>D75-E75-F75</x:f>
        <x:v>80</x:v>
      </x:c>
      <x:c r="H75" s="33" t="n">
        <x:f>D75/(1+'Assumptions'!$C$6)*'Assumptions'!$C$62*(1-'Assumptions'!$C$8*'Assumptions'!$I$62)</x:f>
        <x:v>24</x:v>
      </x:c>
      <x:c r="I75" s="33" t="n">
        <x:f>(D75*'Assumptions'!$D$62+'Assumptions'!$E$62)*(1-'Assumptions'!$C$8*'Assumptions'!$J$62)</x:f>
        <x:v>0</x:v>
      </x:c>
      <x:c r="J75" s="33" t="n">
        <x:f>D75*'Assumptions'!$F$62*(1-'Assumptions'!$C$8*'Assumptions'!$K$62)</x:f>
        <x:v>0</x:v>
      </x:c>
      <x:c r="K75" s="33" t="n">
        <x:f>D75*'Assumptions'!$G$62*(1-'Assumptions'!$C$8*'Assumptions'!$L$62)</x:f>
        <x:v>0</x:v>
      </x:c>
      <x:c r="L75" s="33" t="n">
        <x:f>D75*'Assumptions'!$H$62*(1-'Assumptions'!$C$8*'Assumptions'!$J$62)</x:f>
        <x:v>0</x:v>
      </x:c>
      <x:c r="M75" s="35" t="n">
        <x:f>G75-SUM(H75:L75)</x:f>
        <x:v>56</x:v>
      </x:c>
      <x:c r="N75" s="2"/>
    </x:row>
    <x:row r="76" ht="34" customHeight="1">
      <x:c r="A76" s="2"/>
      <x:c r="B76" s="32" t="str">
        <x:f>'Assumptions'!B54</x:f>
        <x:v>Ultimate annual</x:v>
      </x:c>
      <x:c r="C76" s="32" t="str">
        <x:f>'Assumptions'!B63</x:f>
        <x:v>Web Stripe EEA card</x:v>
      </x:c>
      <x:c r="D76" s="33" t="n">
        <x:f>IF('Assumptions'!$C$7=1,'Assumptions'!$D$54,'Assumptions'!$D$54*(1+'Assumptions'!$C$6))</x:f>
        <x:v>100</x:v>
      </x:c>
      <x:c r="E76" s="33" t="n">
        <x:f>D76*'Assumptions'!$C$8</x:f>
        <x:v>0</x:v>
      </x:c>
      <x:c r="F76" s="33" t="n">
        <x:f>(D76-E76)*'Assumptions'!$C$6/(1+'Assumptions'!$C$6)</x:f>
        <x:v>20</x:v>
      </x:c>
      <x:c r="G76" s="27" t="n">
        <x:f>D76-E76-F76</x:f>
        <x:v>80</x:v>
      </x:c>
      <x:c r="H76" s="33" t="n">
        <x:f>D76/(1+'Assumptions'!$C$6)*'Assumptions'!$C$63*(1-'Assumptions'!$C$8*'Assumptions'!$I$63)</x:f>
        <x:v>0</x:v>
      </x:c>
      <x:c r="I76" s="33" t="n">
        <x:f>(D76*'Assumptions'!$D$63+'Assumptions'!$E$63)*(1-'Assumptions'!$C$8*'Assumptions'!$J$63)</x:f>
        <x:v>1.75</x:v>
      </x:c>
      <x:c r="J76" s="33" t="n">
        <x:f>D76*'Assumptions'!$F$63*(1-'Assumptions'!$C$8*'Assumptions'!$K$63)</x:f>
        <x:v>0.7000000000000001</x:v>
      </x:c>
      <x:c r="K76" s="33" t="n">
        <x:f>D76*'Assumptions'!$G$63*(1-'Assumptions'!$C$8*'Assumptions'!$L$63)</x:f>
        <x:v>0.5</x:v>
      </x:c>
      <x:c r="L76" s="33" t="n">
        <x:f>D76*'Assumptions'!$H$63*(1-'Assumptions'!$C$8*'Assumptions'!$J$63)</x:f>
        <x:v>0</x:v>
      </x:c>
      <x:c r="M76" s="35" t="n">
        <x:f>G76-SUM(H76:L76)</x:f>
        <x:v>77.05</x:v>
      </x:c>
      <x:c r="N76" s="2"/>
    </x:row>
    <x:row r="77" ht="34" customHeight="1">
      <x:c r="A77" s="2"/>
      <x:c r="B77" s="32" t="str">
        <x:f>'Assumptions'!B54</x:f>
        <x:v>Ultimate annual</x:v>
      </x:c>
      <x:c r="C77" s="32" t="str">
        <x:f>'Assumptions'!B64</x:f>
        <x:v>Web Stripe international</x:v>
      </x:c>
      <x:c r="D77" s="33" t="n">
        <x:f>IF('Assumptions'!$C$7=1,'Assumptions'!$D$54,'Assumptions'!$D$54*(1+'Assumptions'!$C$6))</x:f>
        <x:v>100</x:v>
      </x:c>
      <x:c r="E77" s="33" t="n">
        <x:f>D77*'Assumptions'!$C$8</x:f>
        <x:v>0</x:v>
      </x:c>
      <x:c r="F77" s="33" t="n">
        <x:f>(D77-E77)*'Assumptions'!$C$6/(1+'Assumptions'!$C$6)</x:f>
        <x:v>20</x:v>
      </x:c>
      <x:c r="G77" s="27" t="n">
        <x:f>D77-E77-F77</x:f>
        <x:v>80</x:v>
      </x:c>
      <x:c r="H77" s="33" t="n">
        <x:f>D77/(1+'Assumptions'!$C$6)*'Assumptions'!$C$64*(1-'Assumptions'!$C$8*'Assumptions'!$I$64)</x:f>
        <x:v>0</x:v>
      </x:c>
      <x:c r="I77" s="33" t="n">
        <x:f>(D77*'Assumptions'!$D$64+'Assumptions'!$E$64)*(1-'Assumptions'!$C$8*'Assumptions'!$J$64)</x:f>
        <x:v>3.4</x:v>
      </x:c>
      <x:c r="J77" s="33" t="n">
        <x:f>D77*'Assumptions'!$F$64*(1-'Assumptions'!$C$8*'Assumptions'!$K$64)</x:f>
        <x:v>0.7000000000000001</x:v>
      </x:c>
      <x:c r="K77" s="33" t="n">
        <x:f>D77*'Assumptions'!$G$64*(1-'Assumptions'!$C$8*'Assumptions'!$L$64)</x:f>
        <x:v>0.5</x:v>
      </x:c>
      <x:c r="L77" s="33" t="n">
        <x:f>D77*'Assumptions'!$H$64*(1-'Assumptions'!$C$8*'Assumptions'!$J$64)</x:f>
        <x:v>0</x:v>
      </x:c>
      <x:c r="M77" s="35" t="n">
        <x:f>G77-SUM(H77:L77)</x:f>
        <x:v>75.4</x:v>
      </x:c>
      <x:c r="N77" s="2"/>
    </x:row>
    <x:row r="78" ht="34" customHeight="1">
      <x:c r="A78" s="2"/>
      <x:c r="B78" s="32" t="str">
        <x:f>'Assumptions'!B54</x:f>
        <x:v>Ultimate annual</x:v>
      </x:c>
      <x:c r="C78" s="32" t="str">
        <x:f>'Assumptions'!B65</x:f>
        <x:v>Alternative reduced EEA</x:v>
      </x:c>
      <x:c r="D78" s="33" t="n">
        <x:f>IF('Assumptions'!$C$7=1,'Assumptions'!$D$54,'Assumptions'!$D$54*(1+'Assumptions'!$C$6))</x:f>
        <x:v>100</x:v>
      </x:c>
      <x:c r="E78" s="33" t="n">
        <x:f>D78*'Assumptions'!$C$8</x:f>
        <x:v>0</x:v>
      </x:c>
      <x:c r="F78" s="33" t="n">
        <x:f>(D78-E78)*'Assumptions'!$C$6/(1+'Assumptions'!$C$6)</x:f>
        <x:v>20</x:v>
      </x:c>
      <x:c r="G78" s="27" t="n">
        <x:f>D78-E78-F78</x:f>
        <x:v>80</x:v>
      </x:c>
      <x:c r="H78" s="33" t="n">
        <x:f>D78/(1+'Assumptions'!$C$6)*'Assumptions'!$C$65*(1-'Assumptions'!$C$8*'Assumptions'!$I$65)</x:f>
        <x:v>8</x:v>
      </x:c>
      <x:c r="I78" s="33" t="n">
        <x:f>(D78*'Assumptions'!$D$65+'Assumptions'!$E$65)*(1-'Assumptions'!$C$8*'Assumptions'!$J$65)</x:f>
        <x:v>1.75</x:v>
      </x:c>
      <x:c r="J78" s="33" t="n">
        <x:f>D78*'Assumptions'!$F$65*(1-'Assumptions'!$C$8*'Assumptions'!$K$65)</x:f>
        <x:v>0.7000000000000001</x:v>
      </x:c>
      <x:c r="K78" s="33" t="n">
        <x:f>D78*'Assumptions'!$G$65*(1-'Assumptions'!$C$8*'Assumptions'!$L$65)</x:f>
        <x:v>0.5</x:v>
      </x:c>
      <x:c r="L78" s="33" t="n">
        <x:f>D78*'Assumptions'!$H$65*(1-'Assumptions'!$C$8*'Assumptions'!$J$65)</x:f>
        <x:v>0</x:v>
      </x:c>
      <x:c r="M78" s="35" t="n">
        <x:f>G78-SUM(H78:L78)</x:f>
        <x:v>69.05</x:v>
      </x:c>
      <x:c r="N78" s="2"/>
    </x:row>
    <x:row r="79" ht="34" customHeight="1">
      <x:c r="A79" s="2"/>
      <x:c r="B79" s="32" t="str">
        <x:f>'Assumptions'!B54</x:f>
        <x:v>Ultimate annual</x:v>
      </x:c>
      <x:c r="C79" s="32" t="str">
        <x:f>'Assumptions'!B66</x:f>
        <x:v>Apple EU in-app standard</x:v>
      </x:c>
      <x:c r="D79" s="33" t="n">
        <x:f>IF('Assumptions'!$C$7=1,'Assumptions'!$D$54,'Assumptions'!$D$54*(1+'Assumptions'!$C$6))</x:f>
        <x:v>100</x:v>
      </x:c>
      <x:c r="E79" s="33" t="n">
        <x:f>D79*'Assumptions'!$C$8</x:f>
        <x:v>0</x:v>
      </x:c>
      <x:c r="F79" s="33" t="n">
        <x:f>(D79-E79)*'Assumptions'!$C$6/(1+'Assumptions'!$C$6)</x:f>
        <x:v>20</x:v>
      </x:c>
      <x:c r="G79" s="27" t="n">
        <x:f>D79-E79-F79</x:f>
        <x:v>80</x:v>
      </x:c>
      <x:c r="H79" s="33" t="n">
        <x:f>D79/(1+'Assumptions'!$C$6)*'Assumptions'!$C$66*(1-'Assumptions'!$C$8*'Assumptions'!$I$66)</x:f>
        <x:v>16</x:v>
      </x:c>
      <x:c r="I79" s="33" t="n">
        <x:f>(D79*'Assumptions'!$D$66+'Assumptions'!$E$66)*(1-'Assumptions'!$C$8*'Assumptions'!$J$66)</x:f>
        <x:v>1.75</x:v>
      </x:c>
      <x:c r="J79" s="33" t="n">
        <x:f>D79*'Assumptions'!$F$66*(1-'Assumptions'!$C$8*'Assumptions'!$K$66)</x:f>
        <x:v>0.7000000000000001</x:v>
      </x:c>
      <x:c r="K79" s="33" t="n">
        <x:f>D79*'Assumptions'!$G$66*(1-'Assumptions'!$C$8*'Assumptions'!$L$66)</x:f>
        <x:v>0.5</x:v>
      </x:c>
      <x:c r="L79" s="33" t="n">
        <x:f>D79*'Assumptions'!$H$66*(1-'Assumptions'!$C$8*'Assumptions'!$J$66)</x:f>
        <x:v>0</x:v>
      </x:c>
      <x:c r="M79" s="35" t="n">
        <x:f>G79-SUM(H79:L79)</x:f>
        <x:v>61.05</x:v>
      </x:c>
      <x:c r="N79" s="2"/>
    </x:row>
    <x:row r="80" ht="34" customHeight="1">
      <x:c r="A80" s="2"/>
      <x:c r="B80" s="32" t="str">
        <x:f>'Assumptions'!B54</x:f>
        <x:v>Ultimate annual</x:v>
      </x:c>
      <x:c r="C80" s="32" t="str">
        <x:f>'Assumptions'!B67</x:f>
        <x:v>Apple EU link standard</x:v>
      </x:c>
      <x:c r="D80" s="33" t="n">
        <x:f>IF('Assumptions'!$C$7=1,'Assumptions'!$D$54,'Assumptions'!$D$54*(1+'Assumptions'!$C$6))</x:f>
        <x:v>100</x:v>
      </x:c>
      <x:c r="E80" s="33" t="n">
        <x:f>D80*'Assumptions'!$C$8</x:f>
        <x:v>0</x:v>
      </x:c>
      <x:c r="F80" s="33" t="n">
        <x:f>(D80-E80)*'Assumptions'!$C$6/(1+'Assumptions'!$C$6)</x:f>
        <x:v>20</x:v>
      </x:c>
      <x:c r="G80" s="27" t="n">
        <x:f>D80-E80-F80</x:f>
        <x:v>80</x:v>
      </x:c>
      <x:c r="H80" s="33" t="n">
        <x:f>D80/(1+'Assumptions'!$C$6)*'Assumptions'!$C$67*(1-'Assumptions'!$C$8*'Assumptions'!$I$67)</x:f>
        <x:v>12</x:v>
      </x:c>
      <x:c r="I80" s="33" t="n">
        <x:f>(D80*'Assumptions'!$D$67+'Assumptions'!$E$67)*(1-'Assumptions'!$C$8*'Assumptions'!$J$67)</x:f>
        <x:v>1.75</x:v>
      </x:c>
      <x:c r="J80" s="33" t="n">
        <x:f>D80*'Assumptions'!$F$67*(1-'Assumptions'!$C$8*'Assumptions'!$K$67)</x:f>
        <x:v>0.7000000000000001</x:v>
      </x:c>
      <x:c r="K80" s="33" t="n">
        <x:f>D80*'Assumptions'!$G$67*(1-'Assumptions'!$C$8*'Assumptions'!$L$67)</x:f>
        <x:v>0.5</x:v>
      </x:c>
      <x:c r="L80" s="33" t="n">
        <x:f>D80*'Assumptions'!$H$67*(1-'Assumptions'!$C$8*'Assumptions'!$J$67)</x:f>
        <x:v>0</x:v>
      </x:c>
      <x:c r="M80" s="35" t="n">
        <x:f>G80-SUM(H80:L80)</x:f>
        <x:v>65.05</x:v>
      </x:c>
      <x:c r="N80" s="2"/>
    </x:row>
    <x:row r="81" ht="34" customHeight="1">
      <x:c r="A81" s="2"/>
      <x:c r="B81" s="32" t="str">
        <x:f>'Assumptions'!B54</x:f>
        <x:v>Ultimate annual</x:v>
      </x:c>
      <x:c r="C81" s="32" t="str">
        <x:f>'Assumptions'!B68</x:f>
        <x:v>Play US alternative</x:v>
      </x:c>
      <x:c r="D81" s="33" t="n">
        <x:f>IF('Assumptions'!$C$7=1,'Assumptions'!$D$54,'Assumptions'!$D$54*(1+'Assumptions'!$C$6))</x:f>
        <x:v>100</x:v>
      </x:c>
      <x:c r="E81" s="33" t="n">
        <x:f>D81*'Assumptions'!$C$8</x:f>
        <x:v>0</x:v>
      </x:c>
      <x:c r="F81" s="33" t="n">
        <x:f>(D81-E81)*'Assumptions'!$C$6/(1+'Assumptions'!$C$6)</x:f>
        <x:v>20</x:v>
      </x:c>
      <x:c r="G81" s="27" t="n">
        <x:f>D81-E81-F81</x:f>
        <x:v>80</x:v>
      </x:c>
      <x:c r="H81" s="33" t="n">
        <x:f>D81/(1+'Assumptions'!$C$6)*'Assumptions'!$C$68*(1-'Assumptions'!$C$8*'Assumptions'!$I$68)</x:f>
        <x:v>8</x:v>
      </x:c>
      <x:c r="I81" s="33" t="n">
        <x:f>(D81*'Assumptions'!$D$68+'Assumptions'!$E$68)*(1-'Assumptions'!$C$8*'Assumptions'!$J$68)</x:f>
        <x:v>3.4</x:v>
      </x:c>
      <x:c r="J81" s="33" t="n">
        <x:f>D81*'Assumptions'!$F$68*(1-'Assumptions'!$C$8*'Assumptions'!$K$68)</x:f>
        <x:v>0.7000000000000001</x:v>
      </x:c>
      <x:c r="K81" s="33" t="n">
        <x:f>D81*'Assumptions'!$G$68*(1-'Assumptions'!$C$8*'Assumptions'!$L$68)</x:f>
        <x:v>0.5</x:v>
      </x:c>
      <x:c r="L81" s="33" t="n">
        <x:f>D81*'Assumptions'!$H$68*(1-'Assumptions'!$C$8*'Assumptions'!$J$68)</x:f>
        <x:v>0</x:v>
      </x:c>
      <x:c r="M81" s="35" t="n">
        <x:f>G81-SUM(H81:L81)</x:f>
        <x:v>67.4</x:v>
      </x:c>
      <x:c r="N81" s="2"/>
    </x:row>
    <x:row r="82" ht="34" customHeight="1">
      <x:c r="A82" s="2"/>
      <x:c r="B82" s="32" t="str">
        <x:f>'Assumptions'!B54</x:f>
        <x:v>Ultimate annual</x:v>
      </x:c>
      <x:c r="C82" s="32" t="str">
        <x:f>'Assumptions'!B69</x:f>
        <x:v>US iOS link sensitivity</x:v>
      </x:c>
      <x:c r="D82" s="33" t="n">
        <x:f>IF('Assumptions'!$C$7=1,'Assumptions'!$D$54,'Assumptions'!$D$54*(1+'Assumptions'!$C$6))</x:f>
        <x:v>100</x:v>
      </x:c>
      <x:c r="E82" s="33" t="n">
        <x:f>D82*'Assumptions'!$C$8</x:f>
        <x:v>0</x:v>
      </x:c>
      <x:c r="F82" s="33" t="n">
        <x:f>(D82-E82)*'Assumptions'!$C$6/(1+'Assumptions'!$C$6)</x:f>
        <x:v>20</x:v>
      </x:c>
      <x:c r="G82" s="27" t="n">
        <x:f>D82-E82-F82</x:f>
        <x:v>80</x:v>
      </x:c>
      <x:c r="H82" s="33" t="n">
        <x:f>D82/(1+'Assumptions'!$C$6)*'Assumptions'!$C$69*(1-'Assumptions'!$C$8*'Assumptions'!$I$69)</x:f>
        <x:v>0</x:v>
      </x:c>
      <x:c r="I82" s="33" t="n">
        <x:f>(D82*'Assumptions'!$D$69+'Assumptions'!$E$69)*(1-'Assumptions'!$C$8*'Assumptions'!$J$69)</x:f>
        <x:v>3.4</x:v>
      </x:c>
      <x:c r="J82" s="33" t="n">
        <x:f>D82*'Assumptions'!$F$69*(1-'Assumptions'!$C$8*'Assumptions'!$K$69)</x:f>
        <x:v>0.7000000000000001</x:v>
      </x:c>
      <x:c r="K82" s="33" t="n">
        <x:f>D82*'Assumptions'!$G$69*(1-'Assumptions'!$C$8*'Assumptions'!$L$69)</x:f>
        <x:v>0.5</x:v>
      </x:c>
      <x:c r="L82" s="33" t="n">
        <x:f>D82*'Assumptions'!$H$69*(1-'Assumptions'!$C$8*'Assumptions'!$J$69)</x:f>
        <x:v>0</x:v>
      </x:c>
      <x:c r="M82" s="35" t="n">
        <x:f>G82-SUM(H82:L82)</x:f>
        <x:v>75.4</x:v>
      </x:c>
      <x:c r="N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8897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.440000057220459" hidden="0" customWidth="1"/>
    <x:col min="2" max="2" width="34.220001220703125" hidden="0" customWidth="1"/>
    <x:col min="3" max="3" width="14.4399995803833" hidden="0" customWidth="1"/>
    <x:col min="4" max="4" width="8.4399995803833" hidden="0" customWidth="1"/>
    <x:col min="5" max="5" width="8.890000343322754" hidden="0" customWidth="1"/>
    <x:col min="6" max="6" width="67.22000122070312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  <x:col min="11" max="11" width="11.109999656677246" hidden="0" customWidth="1"/>
    <x:col min="12" max="12" width="11.10999965667724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2"/>
      <x:c r="B2" s="3" t="str">
        <x:v>Token Circles subscription assumptions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2"/>
      <x:c r="B3" s="4"/>
      <x:c r="C3" s="4"/>
      <x:c r="D3" s="4"/>
      <x:c r="E3" s="4"/>
      <x:c r="F3" s="4"/>
      <x:c r="G3" s="2"/>
      <x:c r="H3" s="2"/>
      <x:c r="I3" s="2"/>
      <x:c r="J3" s="2"/>
      <x:c r="K3" s="2"/>
      <x:c r="L3" s="2"/>
    </x:row>
    <x:row r="4" ht="23" customHeight="1">
      <x:c r="A4" s="2"/>
      <x:c r="B4" s="2" t="str">
        <x:v>Blue values are editable. Yellow blank costs are unknown, not zero.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8" t="str">
        <x:v>Driver</x:v>
      </x:c>
      <x:c r="C5" s="8" t="str">
        <x:v>Value</x:v>
      </x:c>
      <x:c r="D5" s="8" t="str">
        <x:v>Unit</x:v>
      </x:c>
      <x:c r="E5" s="2"/>
      <x:c r="F5" s="8" t="str">
        <x:v>Basis / source key</x:v>
      </x:c>
      <x:c r="G5" s="2"/>
      <x:c r="H5" s="2"/>
      <x:c r="I5" s="2"/>
      <x:c r="J5" s="2"/>
      <x:c r="K5" s="2"/>
      <x:c r="L5" s="2"/>
    </x:row>
    <x:row r="6" ht="23" customHeight="1">
      <x:c r="A6" s="2"/>
      <x:c r="B6" s="2" t="str">
        <x:v>Tax rate</x:v>
      </x:c>
      <x:c r="C6" s="11" t="n">
        <x:v>0.25</x:v>
      </x:c>
      <x:c r="D6" s="2" t="str">
        <x:v>%</x:v>
      </x:c>
      <x:c r="E6" s="2"/>
      <x:c r="F6" s="2" t="str">
        <x:v>25% Croatian illustration. Set customer-specific tax. S15</x:v>
      </x:c>
      <x:c r="G6" s="2"/>
      <x:c r="H6" s="2"/>
      <x:c r="I6" s="2"/>
      <x:c r="J6" s="2"/>
      <x:c r="K6" s="2"/>
      <x:c r="L6" s="2"/>
    </x:row>
    <x:row r="7" ht="23" customHeight="1">
      <x:c r="A7" s="2"/>
      <x:c r="B7" s="2" t="str">
        <x:v>List price includes tax</x:v>
      </x:c>
      <x:c r="C7" s="12" t="n">
        <x:v>1</x:v>
      </x:c>
      <x:c r="D7" s="2" t="str">
        <x:v>1=yes</x:v>
      </x:c>
      <x:c r="E7" s="2"/>
      <x:c r="F7" s="2" t="str">
        <x:v>1 inclusive; 0 adds tax to the catalog price. Live Stripe setting unknown.</x:v>
      </x:c>
      <x:c r="G7" s="2"/>
      <x:c r="H7" s="2"/>
      <x:c r="I7" s="2"/>
      <x:c r="J7" s="2"/>
      <x:c r="K7" s="2"/>
      <x:c r="L7" s="2"/>
    </x:row>
    <x:row r="8" ht="23" customHeight="1">
      <x:c r="A8" s="2"/>
      <x:c r="B8" s="2" t="str">
        <x:v>Full-refund rate</x:v>
      </x:c>
      <x:c r="C8" s="11" t="n">
        <x:v>0</x:v>
      </x:c>
      <x:c r="D8" s="2" t="str">
        <x:v>%</x:v>
      </x:c>
      <x:c r="E8" s="2"/>
      <x:c r="F8" s="2" t="str">
        <x:v>Illustrative. Proportional sales and transaction-tax reversal.</x:v>
      </x:c>
      <x:c r="G8" s="2"/>
      <x:c r="H8" s="2"/>
      <x:c r="I8" s="2"/>
      <x:c r="J8" s="2"/>
      <x:c r="K8" s="2"/>
      <x:c r="L8" s="2"/>
    </x:row>
    <x:row r="9" ht="23" customHeight="1">
      <x:c r="A9" s="2"/>
      <x:c r="B9" s="2" t="str">
        <x:v>Native commission refund credit</x:v>
      </x:c>
      <x:c r="C9" s="11" t="n">
        <x:v>1</x:v>
      </x:c>
      <x:c r="D9" s="2" t="str">
        <x:v>share</x:v>
      </x:c>
      <x:c r="E9" s="2"/>
      <x:c r="F9" s="2" t="str">
        <x:v>1 reverses all commission on refunded sales. Verify actual settlement.</x:v>
      </x:c>
      <x:c r="G9" s="2"/>
      <x:c r="H9" s="2"/>
      <x:c r="I9" s="2"/>
      <x:c r="J9" s="2"/>
      <x:c r="K9" s="2"/>
      <x:c r="L9" s="2"/>
    </x:row>
    <x:row r="10" ht="23" customHeight="1">
      <x:c r="A10" s="2"/>
      <x:c r="B10" s="2" t="str">
        <x:v>Alternative commission refund credit</x:v>
      </x:c>
      <x:c r="C10" s="11" t="n">
        <x:v>1</x:v>
      </x:c>
      <x:c r="D10" s="2" t="str">
        <x:v>share</x:v>
      </x:c>
      <x:c r="E10" s="2"/>
      <x:c r="F10" s="2" t="str">
        <x:v>1 reverses all commission on refunded sales. Verify actual settlement.</x:v>
      </x:c>
      <x:c r="G10" s="2"/>
      <x:c r="H10" s="2"/>
      <x:c r="I10" s="2"/>
      <x:c r="J10" s="2"/>
      <x:c r="K10" s="2"/>
      <x:c r="L10" s="2"/>
    </x:row>
    <x:row r="11" ht="23" customHeight="1">
      <x:c r="A11" s="2"/>
      <x:c r="B11" s="2" t="str">
        <x:v>Processing fee refund credit</x:v>
      </x:c>
      <x:c r="C11" s="11" t="n">
        <x:v>0</x:v>
      </x:c>
      <x:c r="D11" s="2" t="str">
        <x:v>share</x:v>
      </x:c>
      <x:c r="E11" s="2"/>
      <x:c r="F11" s="2" t="str">
        <x:v>0 retains original PSP/fixed fees on refunded payments. Verify contract.</x:v>
      </x:c>
      <x:c r="G11" s="2"/>
      <x:c r="H11" s="2"/>
      <x:c r="I11" s="2"/>
      <x:c r="J11" s="2"/>
      <x:c r="K11" s="2"/>
      <x:c r="L11" s="2"/>
    </x:row>
    <x:row r="12" ht="23" customHeight="1">
      <x:c r="A12" s="2"/>
      <x:c r="B12" s="2" t="str">
        <x:v>Billing fee refund credit</x:v>
      </x:c>
      <x:c r="C12" s="11" t="n">
        <x:v>0</x:v>
      </x:c>
      <x:c r="D12" s="2" t="str">
        <x:v>share</x:v>
      </x:c>
      <x:c r="E12" s="2"/>
      <x:c r="F12" s="2" t="str">
        <x:v>Conservative zero credit assumption. Confirm invoice treatment.</x:v>
      </x:c>
      <x:c r="G12" s="2"/>
      <x:c r="H12" s="2"/>
      <x:c r="I12" s="2"/>
      <x:c r="J12" s="2"/>
      <x:c r="K12" s="2"/>
      <x:c r="L12" s="2"/>
    </x:row>
    <x:row r="13" ht="23" customHeight="1">
      <x:c r="A13" s="2"/>
      <x:c r="B13" s="2" t="str">
        <x:v>Tax calculation fee refund credit</x:v>
      </x:c>
      <x:c r="C13" s="11" t="n">
        <x:v>0</x:v>
      </x:c>
      <x:c r="D13" s="2" t="str">
        <x:v>share</x:v>
      </x:c>
      <x:c r="E13" s="2"/>
      <x:c r="F13" s="2" t="str">
        <x:v>Conservative zero credit assumption. Confirm invoice treatment.</x:v>
      </x:c>
      <x:c r="G13" s="2"/>
      <x:c r="H13" s="2"/>
      <x:c r="I13" s="2"/>
      <x:c r="J13" s="2"/>
      <x:c r="K13" s="2"/>
      <x:c r="L13" s="2"/>
    </x:row>
    <x:row r="14" ht="23" customHeight="1">
      <x:c r="A14" s="2"/>
      <x:c r="B14" s="2" t="str">
        <x:v>Native reduced / Play recurring</x:v>
      </x:c>
      <x:c r="C14" s="11" t="n">
        <x:v>0.15</x:v>
      </x:c>
      <x:c r="D14" s="2" t="str">
        <x:v>%</x:v>
      </x:c>
      <x:c r="E14" s="2"/>
      <x:c r="F14" s="2" t="str">
        <x:v>Apple eligible reduced rate or ordinary Play recurring total. S01 S02 S06</x:v>
      </x:c>
      <x:c r="G14" s="2"/>
      <x:c r="H14" s="2"/>
      <x:c r="I14" s="2"/>
      <x:c r="J14" s="2"/>
      <x:c r="K14" s="2"/>
      <x:c r="L14" s="2"/>
    </x:row>
    <x:row r="15" ht="23" customHeight="1">
      <x:c r="A15" s="2"/>
      <x:c r="B15" s="2" t="str">
        <x:v>Apple EU standard native</x:v>
      </x:c>
      <x:c r="C15" s="11" t="n">
        <x:v>0.26</x:v>
      </x:c>
      <x:c r="D15" s="2" t="str">
        <x:v>%</x:v>
      </x:c>
      <x:c r="E15" s="2"/>
      <x:c r="F15" s="2" t="str">
        <x:v>Announced October 1 EU IAP rate under applicable new terms. S03 S04</x:v>
      </x:c>
      <x:c r="G15" s="2"/>
      <x:c r="H15" s="2"/>
      <x:c r="I15" s="2"/>
      <x:c r="J15" s="2"/>
      <x:c r="K15" s="2"/>
      <x:c r="L15" s="2"/>
    </x:row>
    <x:row r="16" ht="23" customHeight="1">
      <x:c r="A16" s="2"/>
      <x:c r="B16" s="2" t="str">
        <x:v>Apple ordinary first-year native</x:v>
      </x:c>
      <x:c r="C16" s="11" t="n">
        <x:v>0.3</x:v>
      </x:c>
      <x:c r="D16" s="2" t="str">
        <x:v>%</x:v>
      </x:c>
      <x:c r="E16" s="2"/>
      <x:c r="F16" s="2" t="str">
        <x:v>Ordinary standard first-year subscription rate outside new EU branch. S01</x:v>
      </x:c>
      <x:c r="G16" s="2"/>
      <x:c r="H16" s="2"/>
      <x:c r="I16" s="2"/>
      <x:c r="J16" s="2"/>
      <x:c r="K16" s="2"/>
      <x:c r="L16" s="2"/>
    </x:row>
    <x:row r="17" ht="23" customHeight="1">
      <x:c r="A17" s="2"/>
      <x:c r="B17" s="2" t="str">
        <x:v>Alternative reduced / EEA Play</x:v>
      </x:c>
      <x:c r="C17" s="11" t="n">
        <x:v>0.1</x:v>
      </x:c>
      <x:c r="D17" s="2" t="str">
        <x:v>%</x:v>
      </x:c>
      <x:c r="E17" s="2"/>
      <x:c r="F17" s="2" t="str">
        <x:v>Apple qualifying EU or current Play EEA recurring service fee. S03 S07</x:v>
      </x:c>
      <x:c r="G17" s="2"/>
      <x:c r="H17" s="2"/>
      <x:c r="I17" s="2"/>
      <x:c r="J17" s="2"/>
      <x:c r="K17" s="2"/>
      <x:c r="L17" s="2"/>
    </x:row>
    <x:row r="18" ht="23" customHeight="1">
      <x:c r="A18" s="2"/>
      <x:c r="B18" s="2" t="str">
        <x:v>Apple EU alternative in-app standard</x:v>
      </x:c>
      <x:c r="C18" s="11" t="n">
        <x:v>0.2</x:v>
      </x:c>
      <x:c r="D18" s="2" t="str">
        <x:v>%</x:v>
      </x:c>
      <x:c r="E18" s="2"/>
      <x:c r="F18" s="2" t="str">
        <x:v>Announced October 1 standard commission plus own PSP. S03 S04</x:v>
      </x:c>
      <x:c r="G18" s="2"/>
      <x:c r="H18" s="2"/>
      <x:c r="I18" s="2"/>
      <x:c r="J18" s="2"/>
      <x:c r="K18" s="2"/>
      <x:c r="L18" s="2"/>
    </x:row>
    <x:row r="19" ht="23" customHeight="1">
      <x:c r="A19" s="2"/>
      <x:c r="B19" s="2" t="str">
        <x:v>Apple EU out-of-app standard</x:v>
      </x:c>
      <x:c r="C19" s="11" t="n">
        <x:v>0.15</x:v>
      </x:c>
      <x:c r="D19" s="2" t="str">
        <x:v>%</x:v>
      </x:c>
      <x:c r="E19" s="2"/>
      <x:c r="F19" s="2" t="str">
        <x:v>Announced October 1 external offer commission plus own PSP. S03 S04</x:v>
      </x:c>
      <x:c r="G19" s="2"/>
      <x:c r="H19" s="2"/>
      <x:c r="I19" s="2"/>
      <x:c r="J19" s="2"/>
      <x:c r="K19" s="2"/>
      <x:c r="L19" s="2"/>
    </x:row>
    <x:row r="20" ht="23" customHeight="1">
      <x:c r="A20" s="2"/>
      <x:c r="B20" s="2" t="str">
        <x:v>Play US alternative recurring</x:v>
      </x:c>
      <x:c r="C20" s="11" t="n">
        <x:v>0.1</x:v>
      </x:c>
      <x:c r="D20" s="2" t="str">
        <x:v>%</x:v>
      </x:c>
      <x:c r="E20" s="2"/>
      <x:c r="F20" s="2" t="str">
        <x:v>October 1 reporting/fee start announced July 22. S08</x:v>
      </x:c>
      <x:c r="G20" s="2"/>
      <x:c r="H20" s="2"/>
      <x:c r="I20" s="2"/>
      <x:c r="J20" s="2"/>
      <x:c r="K20" s="2"/>
      <x:c r="L20" s="2"/>
    </x:row>
    <x:row r="21" ht="23" customHeight="1">
      <x:c r="A21" s="2"/>
      <x:c r="B21" s="2" t="str">
        <x:v>US iOS external fee sensitivity</x:v>
      </x:c>
      <x:c r="C21" s="11" t="n">
        <x:v>0</x:v>
      </x:c>
      <x:c r="D21" s="2" t="str">
        <x:v>%</x:v>
      </x:c>
      <x:c r="E21" s="2"/>
      <x:c r="F21" s="2" t="str">
        <x:v>0 is a sensitivity only. Final fee terms unverified. Try 5%, 10%, 15%. S05</x:v>
      </x:c>
      <x:c r="G21" s="2"/>
      <x:c r="H21" s="2"/>
      <x:c r="I21" s="2"/>
      <x:c r="J21" s="2"/>
      <x:c r="K21" s="2"/>
      <x:c r="L21" s="2"/>
    </x:row>
    <x:row r="22" ht="23" customHeight="1">
      <x:c r="A22" s="2"/>
      <x:c r="B22" s="2" t="str">
        <x:v>Stripe standard EEA cards</x:v>
      </x:c>
      <x:c r="C22" s="17" t="n">
        <x:v>0.015</x:v>
      </x:c>
      <x:c r="D22" s="2" t="str">
        <x:v>%</x:v>
      </x:c>
      <x:c r="E22" s="2"/>
      <x:c r="F22" s="2" t="str">
        <x:v>Assumed Croatian merchant account. Standard EEA card, not premium. S09</x:v>
      </x:c>
      <x:c r="G22" s="2"/>
      <x:c r="H22" s="2"/>
      <x:c r="I22" s="2"/>
      <x:c r="J22" s="2"/>
      <x:c r="K22" s="2"/>
      <x:c r="L22" s="2"/>
    </x:row>
    <x:row r="23" ht="23" customHeight="1">
      <x:c r="A23" s="2"/>
      <x:c r="B23" s="2" t="str">
        <x:v>Stripe international cards</x:v>
      </x:c>
      <x:c r="C23" s="17" t="n">
        <x:v>0.0315</x:v>
      </x:c>
      <x:c r="D23" s="2" t="str">
        <x:v>%</x:v>
      </x:c>
      <x:c r="E23" s="2"/>
      <x:c r="F23" s="2" t="str">
        <x:v>Includes US-issued cards at Croatian merchant list pricing. S09</x:v>
      </x:c>
      <x:c r="G23" s="2"/>
      <x:c r="H23" s="2"/>
      <x:c r="I23" s="2"/>
      <x:c r="J23" s="2"/>
      <x:c r="K23" s="2"/>
      <x:c r="L23" s="2"/>
    </x:row>
    <x:row r="24" ht="23" customHeight="1">
      <x:c r="A24" s="2"/>
      <x:c r="B24" s="2" t="str">
        <x:v>Stripe fixed charge</x:v>
      </x:c>
      <x:c r="C24" s="13" t="n">
        <x:v>0.25</x:v>
      </x:c>
      <x:c r="D24" s="2" t="str">
        <x:v>EUR</x:v>
      </x:c>
      <x:c r="E24" s="2"/>
      <x:c r="F24" s="2" t="str">
        <x:v>Per successful payment. Checkout included. S09</x:v>
      </x:c>
      <x:c r="G24" s="2"/>
      <x:c r="H24" s="2"/>
      <x:c r="I24" s="2"/>
      <x:c r="J24" s="2"/>
      <x:c r="K24" s="2"/>
      <x:c r="L24" s="2"/>
    </x:row>
    <x:row r="25" ht="23" customHeight="1">
      <x:c r="A25" s="2"/>
      <x:c r="B25" s="2" t="str">
        <x:v>Stripe Billing</x:v>
      </x:c>
      <x:c r="C25" s="11" t="n">
        <x:v>0.007</x:v>
      </x:c>
      <x:c r="D25" s="2" t="str">
        <x:v>% gross</x:v>
      </x:c>
      <x:c r="E25" s="2"/>
      <x:c r="F25" s="2" t="str">
        <x:v>Pay-as-you-go. Gross base is a planning assumption to reconcile. S10</x:v>
      </x:c>
      <x:c r="G25" s="2"/>
      <x:c r="H25" s="2"/>
      <x:c r="I25" s="2"/>
      <x:c r="J25" s="2"/>
      <x:c r="K25" s="2"/>
      <x:c r="L25" s="2"/>
    </x:row>
    <x:row r="26" ht="23" customHeight="1">
      <x:c r="A26" s="2"/>
      <x:c r="B26" s="2" t="str">
        <x:v>Stripe Tax Basic</x:v>
      </x:c>
      <x:c r="C26" s="11" t="n">
        <x:v>0.005</x:v>
      </x:c>
      <x:c r="D26" s="2" t="str">
        <x:v>% gross</x:v>
      </x:c>
      <x:c r="E26" s="2"/>
      <x:c r="F26" s="2" t="str">
        <x:v>Gross incl tax where registered; set 0 when not applicable. S11</x:v>
      </x:c>
      <x:c r="G26" s="2"/>
      <x:c r="H26" s="2"/>
      <x:c r="I26" s="2"/>
      <x:c r="J26" s="2"/>
      <x:c r="K26" s="2"/>
      <x:c r="L26" s="2"/>
    </x:row>
    <x:row r="27" ht="23" customHeight="1">
      <x:c r="A27" s="2"/>
      <x:c r="B27" s="2" t="str">
        <x:v>Extra currency conversion</x:v>
      </x:c>
      <x:c r="C27" s="11" t="n">
        <x:v>0</x:v>
      </x:c>
      <x:c r="D27" s="2" t="str">
        <x:v>% gross</x:v>
      </x:c>
      <x:c r="E27" s="2"/>
      <x:c r="F27" s="2" t="str">
        <x:v>0 default. Stripe lists an additional 2% when conversion is required. S09</x:v>
      </x:c>
      <x:c r="G27" s="2"/>
      <x:c r="H27" s="2"/>
      <x:c r="I27" s="2"/>
      <x:c r="J27" s="2"/>
      <x:c r="K27" s="2"/>
      <x:c r="L27" s="2"/>
    </x:row>
    <x:row r="28" ht="23" customHeight="1">
      <x:c r="A28" s="2"/>
      <x:c r="B28" s="2" t="str">
        <x:v>RevenueCat enabled</x:v>
      </x:c>
      <x:c r="C28" s="12" t="n">
        <x:v>1</x:v>
      </x:c>
      <x:c r="D28" s="2" t="str">
        <x:v>1=yes</x:v>
      </x:c>
      <x:c r="E28" s="2"/>
      <x:c r="F28" s="2" t="str">
        <x:v>0 disables modeled middleware fees. S12</x:v>
      </x:c>
      <x:c r="G28" s="2"/>
      <x:c r="H28" s="2"/>
      <x:c r="I28" s="2"/>
      <x:c r="J28" s="2"/>
      <x:c r="K28" s="2"/>
      <x:c r="L28" s="2"/>
    </x:row>
    <x:row r="29" ht="23" customHeight="1">
      <x:c r="A29" s="2"/>
      <x:c r="B29" s="2" t="str">
        <x:v>This cohort tracked by RevenueCat</x:v>
      </x:c>
      <x:c r="C29" s="11" t="n">
        <x:v>1</x:v>
      </x:c>
      <x:c r="D29" s="2" t="str">
        <x:v>share</x:v>
      </x:c>
      <x:c r="E29" s="2"/>
      <x:c r="F29" s="2" t="str">
        <x:v>1 means all payments tracked; 0 means none. Includes Stripe only if imported.</x:v>
      </x:c>
      <x:c r="G29" s="2"/>
      <x:c r="H29" s="2"/>
      <x:c r="I29" s="2"/>
      <x:c r="J29" s="2"/>
      <x:c r="K29" s="2"/>
      <x:c r="L29" s="2"/>
    </x:row>
    <x:row r="30" ht="23" customHeight="1">
      <x:c r="A30" s="2"/>
      <x:c r="B30" s="2" t="str">
        <x:v>RevenueCat free threshold</x:v>
      </x:c>
      <x:c r="C30" s="14" t="n">
        <x:v>2500</x:v>
      </x:c>
      <x:c r="D30" s="2" t="str">
        <x:v>USD MTR</x:v>
      </x:c>
      <x:c r="E30" s="2"/>
      <x:c r="F30" s="2" t="str">
        <x:v>Model switches to paid at threshold; confirm exact boundary wording. S12</x:v>
      </x:c>
      <x:c r="G30" s="2"/>
      <x:c r="H30" s="2"/>
      <x:c r="I30" s="2"/>
      <x:c r="J30" s="2"/>
      <x:c r="K30" s="2"/>
      <x:c r="L30" s="2"/>
    </x:row>
    <x:row r="31" ht="23" customHeight="1">
      <x:c r="A31" s="2"/>
      <x:c r="B31" s="2" t="str">
        <x:v>RevenueCat paid tier rate</x:v>
      </x:c>
      <x:c r="C31" s="11" t="n">
        <x:v>0.01</x:v>
      </x:c>
      <x:c r="D31" s="2" t="str">
        <x:v>% gross</x:v>
      </x:c>
      <x:c r="E31" s="2"/>
      <x:c r="F31" s="2" t="str">
        <x:v>Paid tier applies to all tracked gross, not just threshold excess. S12 S13</x:v>
      </x:c>
      <x:c r="G31" s="2"/>
      <x:c r="H31" s="2"/>
      <x:c r="I31" s="2"/>
      <x:c r="J31" s="2"/>
      <x:c r="K31" s="2"/>
      <x:c r="L31" s="2"/>
    </x:row>
    <x:row r="32" ht="23" customHeight="1">
      <x:c r="A32" s="2"/>
      <x:c r="B32" s="2" t="str">
        <x:v>USD per EUR, illustration only</x:v>
      </x:c>
      <x:c r="C32" s="15" t="n">
        <x:v>1</x:v>
      </x:c>
      <x:c r="D32" s="2" t="str">
        <x:v>USD/EUR</x:v>
      </x:c>
      <x:c r="E32" s="2"/>
      <x:c r="F32" s="2" t="str">
        <x:v>1.00 is not a market quote. Replace before actual threshold decisions.</x:v>
      </x:c>
      <x:c r="G32" s="2"/>
      <x:c r="H32" s="2"/>
      <x:c r="I32" s="2"/>
      <x:c r="J32" s="2"/>
      <x:c r="K32" s="2"/>
      <x:c r="L32" s="2"/>
    </x:row>
    <x:row r="33" ht="23" customHeight="1">
      <x:c r="A33" s="2"/>
      <x:c r="B33" s="2" t="str">
        <x:v>Other tracked revenue this month</x:v>
      </x:c>
      <x:c r="C33" s="16" t="n">
        <x:v>0</x:v>
      </x:c>
      <x:c r="D33" s="2" t="str">
        <x:v>USD MTR</x:v>
      </x:c>
      <x:c r="E33" s="2"/>
      <x:c r="F33" s="2" t="str">
        <x:v>Other app/cohort gross counted for middleware billing. Scenario, not actual.</x:v>
      </x:c>
      <x:c r="G33" s="2"/>
      <x:c r="H33" s="2"/>
      <x:c r="I33" s="2"/>
      <x:c r="J33" s="2"/>
      <x:c r="K33" s="2"/>
      <x:c r="L33" s="2"/>
    </x:row>
    <x:row r="34" ht="23" customHeight="1">
      <x:c r="A34" s="2"/>
      <x:c r="B34" s="2" t="str">
        <x:v>Example successful charges this month</x:v>
      </x:c>
      <x:c r="C34" s="14" t="n">
        <x:v>1000</x:v>
      </x:c>
      <x:c r="D34" s="2" t="str">
        <x:v>payments</x:v>
      </x:c>
      <x:c r="E34" s="2"/>
      <x:c r="F34" s="2" t="str">
        <x:v>1,000 is illustrative. Annual payments count fully in the charge month.</x:v>
      </x:c>
      <x:c r="G34" s="2"/>
      <x:c r="H34" s="2"/>
      <x:c r="I34" s="2"/>
      <x:c r="J34" s="2"/>
      <x:c r="K34" s="2"/>
      <x:c r="L34" s="2"/>
    </x:row>
    <x:row r="35" ht="23" customHeight="1">
      <x:c r="A35" s="2"/>
      <x:c r="B35" s="2" t="str">
        <x:v>Selected catalog row</x:v>
      </x:c>
      <x:c r="C35" s="12" t="n">
        <x:v>3</x:v>
      </x:c>
      <x:c r="D35" s="2" t="str">
        <x:v>1–6</x:v>
      </x:c>
      <x:c r="E35" s="2"/>
      <x:c r="F35" s="2" t="str">
        <x:v>1 Basic monthly; 2 Basic annual; 3 Advanced monthly; 4 annual; 5/6 Ultimate.</x:v>
      </x:c>
      <x:c r="G35" s="2"/>
      <x:c r="H35" s="2"/>
      <x:c r="I35" s="2"/>
      <x:c r="J35" s="2"/>
      <x:c r="K35" s="2"/>
      <x:c r="L35" s="2"/>
    </x:row>
    <x:row r="36" ht="23" customHeight="1">
      <x:c r="A36" s="2"/>
      <x:c r="B36" s="2" t="str">
        <x:v>Selected channel row</x:v>
      </x:c>
      <x:c r="C36" s="12" t="n">
        <x:v>1</x:v>
      </x:c>
      <x:c r="D36" s="2" t="str">
        <x:v>1–10</x:v>
      </x:c>
      <x:c r="E36" s="2"/>
      <x:c r="F36" s="2" t="str">
        <x:v>See channel matrix below. Monthly model uses this single selection.</x:v>
      </x:c>
      <x:c r="G36" s="2"/>
      <x:c r="H36" s="2"/>
      <x:c r="I36" s="2"/>
      <x:c r="J36" s="2"/>
      <x:c r="K36" s="2"/>
      <x:c r="L36" s="2"/>
    </x:row>
    <x:row r="37" ht="23" customHeight="1">
      <x:c r="A37" s="2"/>
      <x:c r="B37" s="2" t="str">
        <x:v>Variable delivery / support expense</x:v>
      </x:c>
      <x:c r="C37" s="13"/>
      <x:c r="D37" s="2" t="str">
        <x:v>EUR/month</x:v>
      </x:c>
      <x:c r="E37" s="2"/>
      <x:c r="F37" s="2" t="str">
        <x:v>Missing. Include infrastructure, receipts, support, disputes and related costs.</x:v>
      </x:c>
      <x:c r="G37" s="2"/>
      <x:c r="H37" s="2"/>
      <x:c r="I37" s="2"/>
      <x:c r="J37" s="2"/>
      <x:c r="K37" s="2"/>
      <x:c r="L37" s="2"/>
    </x:row>
    <x:row r="38" ht="23" customHeight="1">
      <x:c r="A38" s="2"/>
      <x:c r="B38" s="2" t="str">
        <x:v>Allocated fixed operating expense</x:v>
      </x:c>
      <x:c r="C38" s="13"/>
      <x:c r="D38" s="2" t="str">
        <x:v>EUR/month</x:v>
      </x:c>
      <x:c r="E38" s="2"/>
      <x:c r="F38" s="2" t="str">
        <x:v>Missing. Use an explicit share of existing portfolio costs.</x:v>
      </x:c>
      <x:c r="G38" s="2"/>
      <x:c r="H38" s="2"/>
      <x:c r="I38" s="2"/>
      <x:c r="J38" s="2"/>
      <x:c r="K38" s="2"/>
      <x:c r="L38" s="2"/>
    </x:row>
    <x:row r="39" ht="23" customHeight="1">
      <x:c r="A39" s="2"/>
      <x:c r="B39" s="2" t="str">
        <x:v>Development / design expense</x:v>
      </x:c>
      <x:c r="C39" s="13"/>
      <x:c r="D39" s="2" t="str">
        <x:v>EUR/month</x:v>
      </x:c>
      <x:c r="E39" s="2"/>
      <x:c r="F39" s="2" t="str">
        <x:v>Missing. Distinguish current expense from capitalized work as appropriate.</x:v>
      </x:c>
      <x:c r="G39" s="2"/>
      <x:c r="H39" s="2"/>
      <x:c r="I39" s="2"/>
      <x:c r="J39" s="2"/>
      <x:c r="K39" s="2"/>
      <x:c r="L39" s="2"/>
    </x:row>
    <x:row r="40" ht="23" customHeight="1">
      <x:c r="A40" s="2"/>
      <x:c r="B40" s="2" t="str">
        <x:v>Customer acquisition expense</x:v>
      </x:c>
      <x:c r="C40" s="13"/>
      <x:c r="D40" s="2" t="str">
        <x:v>EUR/month</x:v>
      </x:c>
      <x:c r="E40" s="2"/>
      <x:c r="F40" s="2" t="str">
        <x:v>Missing. Actual spend attributed to the modeled business period.</x:v>
      </x:c>
      <x:c r="G40" s="2"/>
      <x:c r="H40" s="2"/>
      <x:c r="I40" s="2"/>
      <x:c r="J40" s="2"/>
      <x:c r="K40" s="2"/>
      <x:c r="L40" s="2"/>
    </x:row>
    <x:row r="41" ht="23" customHeight="1">
      <x:c r="A41" s="2"/>
      <x:c r="B41" s="2" t="str">
        <x:v>Recognized net revenue</x:v>
      </x:c>
      <x:c r="C41" s="13"/>
      <x:c r="D41" s="2" t="str">
        <x:v>EUR/month</x:v>
      </x:c>
      <x:c r="E41" s="2"/>
      <x:c r="F41" s="2" t="str">
        <x:v>Missing. Tax-exclusive earned revenue; annual collections are not all earned.</x:v>
      </x:c>
      <x:c r="G41" s="2"/>
      <x:c r="H41" s="2"/>
      <x:c r="I41" s="2"/>
      <x:c r="J41" s="2"/>
      <x:c r="K41" s="2"/>
      <x:c r="L41" s="2"/>
    </x:row>
    <x:row r="42" ht="23" customHeight="1">
      <x:c r="A42" s="2"/>
      <x:c r="B42" s="2" t="str">
        <x:v>Recognized channel / middleware expense</x:v>
      </x:c>
      <x:c r="C42" s="13"/>
      <x:c r="D42" s="2" t="str">
        <x:v>EUR/month</x:v>
      </x:c>
      <x:c r="E42" s="2"/>
      <x:c r="F42" s="2" t="str">
        <x:v>Missing. Matching-period fees for operating-profit calculation.</x:v>
      </x:c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3" customHeight="1">
      <x:c r="A46" s="2"/>
      <x:c r="B46" s="20" t="str">
        <x:v>Catalog prices (EUR)</x:v>
      </x:c>
      <x:c r="C46" s="20"/>
      <x:c r="D46" s="20"/>
      <x:c r="E46" s="2"/>
      <x:c r="F46" s="2"/>
      <x:c r="G46" s="2"/>
      <x:c r="H46" s="2"/>
      <x:c r="I46" s="2"/>
      <x:c r="J46" s="2"/>
      <x:c r="K46" s="2"/>
      <x:c r="L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3" customHeight="1">
      <x:c r="A48" s="2"/>
      <x:c r="B48" s="8" t="str">
        <x:v>Plan / interval</x:v>
      </x:c>
      <x:c r="C48" s="8" t="str">
        <x:v>Months</x:v>
      </x:c>
      <x:c r="D48" s="8" t="str">
        <x:v>List price EUR</x:v>
      </x:c>
      <x:c r="E48" s="2"/>
      <x:c r="F48" s="2"/>
      <x:c r="G48" s="2"/>
      <x:c r="H48" s="2"/>
      <x:c r="I48" s="2"/>
      <x:c r="J48" s="2"/>
      <x:c r="K48" s="2"/>
      <x:c r="L48" s="2"/>
    </x:row>
    <x:row r="49" ht="23" customHeight="1">
      <x:c r="A49" s="2"/>
      <x:c r="B49" s="2" t="str">
        <x:v>Basic monthly</x:v>
      </x:c>
      <x:c r="C49" s="2" t="n">
        <x:v>1</x:v>
      </x:c>
      <x:c r="D49" s="13" t="n">
        <x:v>3</x:v>
      </x:c>
      <x:c r="E49" s="2"/>
      <x:c r="F49" s="2" t="str">
        <x:v>S14. Display defaults from plans.ts; live Stripe Price IDs control real charges.</x:v>
      </x:c>
      <x:c r="G49" s="2"/>
      <x:c r="H49" s="2"/>
      <x:c r="I49" s="2"/>
      <x:c r="J49" s="2"/>
      <x:c r="K49" s="2"/>
      <x:c r="L49" s="2"/>
    </x:row>
    <x:row r="50" ht="23" customHeight="1">
      <x:c r="A50" s="2"/>
      <x:c r="B50" s="2" t="str">
        <x:v>Basic annual</x:v>
      </x:c>
      <x:c r="C50" s="2" t="n">
        <x:v>12</x:v>
      </x:c>
      <x:c r="D50" s="13" t="n">
        <x:v>30</x:v>
      </x:c>
      <x:c r="E50" s="2"/>
      <x:c r="F50" s="2" t="str">
        <x:v>Historical “PriceUsd” field names contain EUR amounts.</x:v>
      </x:c>
      <x:c r="G50" s="2"/>
      <x:c r="H50" s="2"/>
      <x:c r="I50" s="2"/>
      <x:c r="J50" s="2"/>
      <x:c r="K50" s="2"/>
      <x:c r="L50" s="2"/>
    </x:row>
    <x:row r="51" ht="23" customHeight="1">
      <x:c r="A51" s="2"/>
      <x:c r="B51" s="2" t="str">
        <x:v>Advanced monthly</x:v>
      </x:c>
      <x:c r="C51" s="2" t="n">
        <x:v>1</x:v>
      </x:c>
      <x:c r="D51" s="13" t="n">
        <x:v>6</x:v>
      </x:c>
      <x:c r="E51" s="2"/>
      <x:c r="F51" s="2"/>
      <x:c r="G51" s="2"/>
      <x:c r="H51" s="2"/>
      <x:c r="I51" s="2"/>
      <x:c r="J51" s="2"/>
      <x:c r="K51" s="2"/>
      <x:c r="L51" s="2"/>
    </x:row>
    <x:row r="52" ht="23" customHeight="1">
      <x:c r="A52" s="2"/>
      <x:c r="B52" s="2" t="str">
        <x:v>Advanced annual</x:v>
      </x:c>
      <x:c r="C52" s="2" t="n">
        <x:v>12</x:v>
      </x:c>
      <x:c r="D52" s="13" t="n">
        <x:v>60</x:v>
      </x:c>
      <x:c r="E52" s="2"/>
      <x:c r="F52" s="2"/>
      <x:c r="G52" s="2"/>
      <x:c r="H52" s="2"/>
      <x:c r="I52" s="2"/>
      <x:c r="J52" s="2"/>
      <x:c r="K52" s="2"/>
      <x:c r="L52" s="2"/>
    </x:row>
    <x:row r="53" ht="23" customHeight="1">
      <x:c r="A53" s="2"/>
      <x:c r="B53" s="2" t="str">
        <x:v>Ultimate monthly</x:v>
      </x:c>
      <x:c r="C53" s="2" t="n">
        <x:v>1</x:v>
      </x:c>
      <x:c r="D53" s="13" t="n">
        <x:v>10</x:v>
      </x:c>
      <x:c r="E53" s="2"/>
      <x:c r="F53" s="2"/>
      <x:c r="G53" s="2"/>
      <x:c r="H53" s="2"/>
      <x:c r="I53" s="2"/>
      <x:c r="J53" s="2"/>
      <x:c r="K53" s="2"/>
      <x:c r="L53" s="2"/>
    </x:row>
    <x:row r="54" ht="23" customHeight="1">
      <x:c r="A54" s="2"/>
      <x:c r="B54" s="2" t="str">
        <x:v>Ultimate annual</x:v>
      </x:c>
      <x:c r="C54" s="2" t="n">
        <x:v>12</x:v>
      </x:c>
      <x:c r="D54" s="13" t="n">
        <x:v>100</x:v>
      </x:c>
      <x:c r="E54" s="2"/>
      <x:c r="F54" s="2"/>
      <x:c r="G54" s="2"/>
      <x:c r="H54" s="2"/>
      <x:c r="I54" s="2"/>
      <x:c r="J54" s="2"/>
      <x:c r="K54" s="2"/>
      <x:c r="L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3" customHeight="1">
      <x:c r="A57" s="2"/>
      <x:c r="B57" s="20" t="str">
        <x:v>Channel fee mapping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44" customHeight="1">
      <x:c r="A59" s="2"/>
      <x:c r="B59" s="8" t="str">
        <x:v>Channel</x:v>
      </x:c>
      <x:c r="C59" s="8" t="str">
        <x:v>Store rate</x:v>
      </x:c>
      <x:c r="D59" s="8" t="str">
        <x:v>PSP rate</x:v>
      </x:c>
      <x:c r="E59" s="8" t="str">
        <x:v>Fixed EUR</x:v>
      </x:c>
      <x:c r="F59" s="8" t="str">
        <x:v>Billing</x:v>
      </x:c>
      <x:c r="G59" s="8" t="str">
        <x:v>Tax Basic</x:v>
      </x:c>
      <x:c r="H59" s="8" t="str">
        <x:v>Extra FX</x:v>
      </x:c>
      <x:c r="I59" s="8" t="str">
        <x:v>Store refund credit</x:v>
      </x:c>
      <x:c r="J59" s="8" t="str">
        <x:v>PSP refund credit</x:v>
      </x:c>
      <x:c r="K59" s="8" t="str">
        <x:v>Billing refund credit</x:v>
      </x:c>
      <x:c r="L59" s="8" t="str">
        <x:v>Tax refund credit</x:v>
      </x:c>
    </x:row>
    <x:row r="60" ht="23" customHeight="1">
      <x:c r="A60" s="2"/>
      <x:c r="B60" s="2" t="str">
        <x:v>Native reduced / Play</x:v>
      </x:c>
      <x:c r="C60" s="21" t="n">
        <x:f>$C$14</x:f>
        <x:v>0.15</x:v>
      </x:c>
      <x:c r="D60" s="23" t="n">
        <x:f>0</x:f>
        <x:v>0</x:v>
      </x:c>
      <x:c r="E60" s="22" t="n">
        <x:f>0</x:f>
        <x:v>0</x:v>
      </x:c>
      <x:c r="F60" s="21" t="n">
        <x:f>0</x:f>
        <x:v>0</x:v>
      </x:c>
      <x:c r="G60" s="21" t="n">
        <x:f>0</x:f>
        <x:v>0</x:v>
      </x:c>
      <x:c r="H60" s="21" t="n">
        <x:f>0</x:f>
        <x:v>0</x:v>
      </x:c>
      <x:c r="I60" s="21" t="n">
        <x:f>$C$9</x:f>
        <x:v>1</x:v>
      </x:c>
      <x:c r="J60" s="21" t="n">
        <x:f>$C$11</x:f>
        <x:v>0</x:v>
      </x:c>
      <x:c r="K60" s="21" t="n">
        <x:f>$C$12</x:f>
        <x:v>0</x:v>
      </x:c>
      <x:c r="L60" s="21" t="n">
        <x:f>$C$13</x:f>
        <x:v>0</x:v>
      </x:c>
    </x:row>
    <x:row r="61" ht="23" customHeight="1">
      <x:c r="A61" s="2"/>
      <x:c r="B61" s="2" t="str">
        <x:v>Apple EU native standard</x:v>
      </x:c>
      <x:c r="C61" s="21" t="n">
        <x:f>$C$15</x:f>
        <x:v>0.26</x:v>
      </x:c>
      <x:c r="D61" s="23" t="n">
        <x:f>0</x:f>
        <x:v>0</x:v>
      </x:c>
      <x:c r="E61" s="22" t="n">
        <x:f>0</x:f>
        <x:v>0</x:v>
      </x:c>
      <x:c r="F61" s="21" t="n">
        <x:f>0</x:f>
        <x:v>0</x:v>
      </x:c>
      <x:c r="G61" s="21" t="n">
        <x:f>0</x:f>
        <x:v>0</x:v>
      </x:c>
      <x:c r="H61" s="21" t="n">
        <x:f>0</x:f>
        <x:v>0</x:v>
      </x:c>
      <x:c r="I61" s="21" t="n">
        <x:f>$C$9</x:f>
        <x:v>1</x:v>
      </x:c>
      <x:c r="J61" s="21" t="n">
        <x:f>$C$11</x:f>
        <x:v>0</x:v>
      </x:c>
      <x:c r="K61" s="21" t="n">
        <x:f>$C$12</x:f>
        <x:v>0</x:v>
      </x:c>
      <x:c r="L61" s="21" t="n">
        <x:f>$C$13</x:f>
        <x:v>0</x:v>
      </x:c>
    </x:row>
    <x:row r="62" ht="23" customHeight="1">
      <x:c r="A62" s="2"/>
      <x:c r="B62" s="2" t="str">
        <x:v>Apple ordinary standard</x:v>
      </x:c>
      <x:c r="C62" s="21" t="n">
        <x:f>$C$16</x:f>
        <x:v>0.3</x:v>
      </x:c>
      <x:c r="D62" s="23" t="n">
        <x:f>0</x:f>
        <x:v>0</x:v>
      </x:c>
      <x:c r="E62" s="22" t="n">
        <x:f>0</x:f>
        <x:v>0</x:v>
      </x:c>
      <x:c r="F62" s="21" t="n">
        <x:f>0</x:f>
        <x:v>0</x:v>
      </x:c>
      <x:c r="G62" s="21" t="n">
        <x:f>0</x:f>
        <x:v>0</x:v>
      </x:c>
      <x:c r="H62" s="21" t="n">
        <x:f>0</x:f>
        <x:v>0</x:v>
      </x:c>
      <x:c r="I62" s="21" t="n">
        <x:f>$C$9</x:f>
        <x:v>1</x:v>
      </x:c>
      <x:c r="J62" s="21" t="n">
        <x:f>$C$11</x:f>
        <x:v>0</x:v>
      </x:c>
      <x:c r="K62" s="21" t="n">
        <x:f>$C$12</x:f>
        <x:v>0</x:v>
      </x:c>
      <x:c r="L62" s="21" t="n">
        <x:f>$C$13</x:f>
        <x:v>0</x:v>
      </x:c>
    </x:row>
    <x:row r="63" ht="23" customHeight="1">
      <x:c r="A63" s="2"/>
      <x:c r="B63" s="2" t="str">
        <x:v>Web Stripe EEA card</x:v>
      </x:c>
      <x:c r="C63" s="21" t="n">
        <x:f>0</x:f>
        <x:v>0</x:v>
      </x:c>
      <x:c r="D63" s="23" t="n">
        <x:f>$C$22</x:f>
        <x:v>0.015</x:v>
      </x:c>
      <x:c r="E63" s="22" t="n">
        <x:f>$C$24</x:f>
        <x:v>0.25</x:v>
      </x:c>
      <x:c r="F63" s="21" t="n">
        <x:f>$C$25</x:f>
        <x:v>0.007</x:v>
      </x:c>
      <x:c r="G63" s="21" t="n">
        <x:f>$C$26</x:f>
        <x:v>0.005</x:v>
      </x:c>
      <x:c r="H63" s="21" t="n">
        <x:f>$C$27</x:f>
        <x:v>0</x:v>
      </x:c>
      <x:c r="I63" s="21" t="n">
        <x:f>$C$10</x:f>
        <x:v>1</x:v>
      </x:c>
      <x:c r="J63" s="21" t="n">
        <x:f>$C$11</x:f>
        <x:v>0</x:v>
      </x:c>
      <x:c r="K63" s="21" t="n">
        <x:f>$C$12</x:f>
        <x:v>0</x:v>
      </x:c>
      <x:c r="L63" s="21" t="n">
        <x:f>$C$13</x:f>
        <x:v>0</x:v>
      </x:c>
    </x:row>
    <x:row r="64" ht="23" customHeight="1">
      <x:c r="A64" s="2"/>
      <x:c r="B64" s="2" t="str">
        <x:v>Web Stripe international</x:v>
      </x:c>
      <x:c r="C64" s="21" t="n">
        <x:f>0</x:f>
        <x:v>0</x:v>
      </x:c>
      <x:c r="D64" s="23" t="n">
        <x:f>$C$23</x:f>
        <x:v>0.0315</x:v>
      </x:c>
      <x:c r="E64" s="22" t="n">
        <x:f>$C$24</x:f>
        <x:v>0.25</x:v>
      </x:c>
      <x:c r="F64" s="21" t="n">
        <x:f>$C$25</x:f>
        <x:v>0.007</x:v>
      </x:c>
      <x:c r="G64" s="21" t="n">
        <x:f>$C$26</x:f>
        <x:v>0.005</x:v>
      </x:c>
      <x:c r="H64" s="21" t="n">
        <x:f>$C$27</x:f>
        <x:v>0</x:v>
      </x:c>
      <x:c r="I64" s="21" t="n">
        <x:f>$C$10</x:f>
        <x:v>1</x:v>
      </x:c>
      <x:c r="J64" s="21" t="n">
        <x:f>$C$11</x:f>
        <x:v>0</x:v>
      </x:c>
      <x:c r="K64" s="21" t="n">
        <x:f>$C$12</x:f>
        <x:v>0</x:v>
      </x:c>
      <x:c r="L64" s="21" t="n">
        <x:f>$C$13</x:f>
        <x:v>0</x:v>
      </x:c>
    </x:row>
    <x:row r="65" ht="23" customHeight="1">
      <x:c r="A65" s="2"/>
      <x:c r="B65" s="2" t="str">
        <x:v>Alternative reduced EEA</x:v>
      </x:c>
      <x:c r="C65" s="21" t="n">
        <x:f>$C$17</x:f>
        <x:v>0.1</x:v>
      </x:c>
      <x:c r="D65" s="23" t="n">
        <x:f>$C$22</x:f>
        <x:v>0.015</x:v>
      </x:c>
      <x:c r="E65" s="22" t="n">
        <x:f>$C$24</x:f>
        <x:v>0.25</x:v>
      </x:c>
      <x:c r="F65" s="21" t="n">
        <x:f>$C$25</x:f>
        <x:v>0.007</x:v>
      </x:c>
      <x:c r="G65" s="21" t="n">
        <x:f>$C$26</x:f>
        <x:v>0.005</x:v>
      </x:c>
      <x:c r="H65" s="21" t="n">
        <x:f>$C$27</x:f>
        <x:v>0</x:v>
      </x:c>
      <x:c r="I65" s="21" t="n">
        <x:f>$C$10</x:f>
        <x:v>1</x:v>
      </x:c>
      <x:c r="J65" s="21" t="n">
        <x:f>$C$11</x:f>
        <x:v>0</x:v>
      </x:c>
      <x:c r="K65" s="21" t="n">
        <x:f>$C$12</x:f>
        <x:v>0</x:v>
      </x:c>
      <x:c r="L65" s="21" t="n">
        <x:f>$C$13</x:f>
        <x:v>0</x:v>
      </x:c>
    </x:row>
    <x:row r="66" ht="23" customHeight="1">
      <x:c r="A66" s="2"/>
      <x:c r="B66" s="2" t="str">
        <x:v>Apple EU in-app standard</x:v>
      </x:c>
      <x:c r="C66" s="21" t="n">
        <x:f>$C$18</x:f>
        <x:v>0.2</x:v>
      </x:c>
      <x:c r="D66" s="23" t="n">
        <x:f>$C$22</x:f>
        <x:v>0.015</x:v>
      </x:c>
      <x:c r="E66" s="22" t="n">
        <x:f>$C$24</x:f>
        <x:v>0.25</x:v>
      </x:c>
      <x:c r="F66" s="21" t="n">
        <x:f>$C$25</x:f>
        <x:v>0.007</x:v>
      </x:c>
      <x:c r="G66" s="21" t="n">
        <x:f>$C$26</x:f>
        <x:v>0.005</x:v>
      </x:c>
      <x:c r="H66" s="21" t="n">
        <x:f>$C$27</x:f>
        <x:v>0</x:v>
      </x:c>
      <x:c r="I66" s="21" t="n">
        <x:f>$C$10</x:f>
        <x:v>1</x:v>
      </x:c>
      <x:c r="J66" s="21" t="n">
        <x:f>$C$11</x:f>
        <x:v>0</x:v>
      </x:c>
      <x:c r="K66" s="21" t="n">
        <x:f>$C$12</x:f>
        <x:v>0</x:v>
      </x:c>
      <x:c r="L66" s="21" t="n">
        <x:f>$C$13</x:f>
        <x:v>0</x:v>
      </x:c>
    </x:row>
    <x:row r="67" ht="23" customHeight="1">
      <x:c r="A67" s="2"/>
      <x:c r="B67" s="2" t="str">
        <x:v>Apple EU link standard</x:v>
      </x:c>
      <x:c r="C67" s="21" t="n">
        <x:f>$C$19</x:f>
        <x:v>0.15</x:v>
      </x:c>
      <x:c r="D67" s="23" t="n">
        <x:f>$C$22</x:f>
        <x:v>0.015</x:v>
      </x:c>
      <x:c r="E67" s="22" t="n">
        <x:f>$C$24</x:f>
        <x:v>0.25</x:v>
      </x:c>
      <x:c r="F67" s="21" t="n">
        <x:f>$C$25</x:f>
        <x:v>0.007</x:v>
      </x:c>
      <x:c r="G67" s="21" t="n">
        <x:f>$C$26</x:f>
        <x:v>0.005</x:v>
      </x:c>
      <x:c r="H67" s="21" t="n">
        <x:f>$C$27</x:f>
        <x:v>0</x:v>
      </x:c>
      <x:c r="I67" s="21" t="n">
        <x:f>$C$10</x:f>
        <x:v>1</x:v>
      </x:c>
      <x:c r="J67" s="21" t="n">
        <x:f>$C$11</x:f>
        <x:v>0</x:v>
      </x:c>
      <x:c r="K67" s="21" t="n">
        <x:f>$C$12</x:f>
        <x:v>0</x:v>
      </x:c>
      <x:c r="L67" s="21" t="n">
        <x:f>$C$13</x:f>
        <x:v>0</x:v>
      </x:c>
    </x:row>
    <x:row r="68" ht="23" customHeight="1">
      <x:c r="A68" s="2"/>
      <x:c r="B68" s="2" t="str">
        <x:v>Play US alternative</x:v>
      </x:c>
      <x:c r="C68" s="21" t="n">
        <x:f>$C$20</x:f>
        <x:v>0.1</x:v>
      </x:c>
      <x:c r="D68" s="23" t="n">
        <x:f>$C$23</x:f>
        <x:v>0.0315</x:v>
      </x:c>
      <x:c r="E68" s="22" t="n">
        <x:f>$C$24</x:f>
        <x:v>0.25</x:v>
      </x:c>
      <x:c r="F68" s="21" t="n">
        <x:f>$C$25</x:f>
        <x:v>0.007</x:v>
      </x:c>
      <x:c r="G68" s="21" t="n">
        <x:f>$C$26</x:f>
        <x:v>0.005</x:v>
      </x:c>
      <x:c r="H68" s="21" t="n">
        <x:f>$C$27</x:f>
        <x:v>0</x:v>
      </x:c>
      <x:c r="I68" s="21" t="n">
        <x:f>$C$10</x:f>
        <x:v>1</x:v>
      </x:c>
      <x:c r="J68" s="21" t="n">
        <x:f>$C$11</x:f>
        <x:v>0</x:v>
      </x:c>
      <x:c r="K68" s="21" t="n">
        <x:f>$C$12</x:f>
        <x:v>0</x:v>
      </x:c>
      <x:c r="L68" s="21" t="n">
        <x:f>$C$13</x:f>
        <x:v>0</x:v>
      </x:c>
    </x:row>
    <x:row r="69" ht="23" customHeight="1">
      <x:c r="A69" s="2"/>
      <x:c r="B69" s="2" t="str">
        <x:v>US iOS link sensitivity</x:v>
      </x:c>
      <x:c r="C69" s="21" t="n">
        <x:f>$C$21</x:f>
        <x:v>0</x:v>
      </x:c>
      <x:c r="D69" s="23" t="n">
        <x:f>$C$23</x:f>
        <x:v>0.0315</x:v>
      </x:c>
      <x:c r="E69" s="22" t="n">
        <x:f>$C$24</x:f>
        <x:v>0.25</x:v>
      </x:c>
      <x:c r="F69" s="21" t="n">
        <x:f>$C$25</x:f>
        <x:v>0.007</x:v>
      </x:c>
      <x:c r="G69" s="21" t="n">
        <x:f>$C$26</x:f>
        <x:v>0.005</x:v>
      </x:c>
      <x:c r="H69" s="21" t="n">
        <x:f>$C$27</x:f>
        <x:v>0</x:v>
      </x:c>
      <x:c r="I69" s="21" t="n">
        <x:f>$C$10</x:f>
        <x:v>1</x:v>
      </x:c>
      <x:c r="J69" s="21" t="n">
        <x:f>$C$11</x:f>
        <x:v>0</x:v>
      </x:c>
      <x:c r="K69" s="21" t="n">
        <x:f>$C$12</x:f>
        <x:v>0</x:v>
      </x:c>
      <x:c r="L69" s="21" t="n">
        <x:f>$C$13</x:f>
        <x:v>0</x:v>
      </x:c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3" customHeight="1">
      <x:c r="A72" s="2"/>
      <x:c r="B72" s="20" t="str">
        <x:v>Source inventory</x:v>
      </x:c>
      <x:c r="C72" s="20"/>
      <x:c r="D72" s="20"/>
      <x:c r="E72" s="20"/>
      <x:c r="F72" s="20"/>
      <x:c r="G72" s="2"/>
      <x:c r="H72" s="2"/>
      <x:c r="I72" s="2"/>
      <x:c r="J72" s="2"/>
      <x:c r="K72" s="2"/>
      <x:c r="L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3" customHeight="1">
      <x:c r="A74" s="2"/>
      <x:c r="B74" s="2" t="str">
        <x:v>S01 appleOrdinary</x:v>
      </x:c>
      <x:c r="C74" s="2" t="str">
        <x:v>https://developer.apple.com/app-store/subscriptions/</x:v>
      </x:c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3" customHeight="1">
      <x:c r="A75" s="2"/>
      <x:c r="B75" s="2" t="str">
        <x:v>S02 appleSmallBusiness</x:v>
      </x:c>
      <x:c r="C75" s="2" t="str">
        <x:v>https://developer.apple.com/app-store/small-business-program/</x:v>
      </x:c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3" customHeight="1">
      <x:c r="A76" s="2"/>
      <x:c r="B76" s="2" t="str">
        <x:v>S03 appleEU</x:v>
      </x:c>
      <x:c r="C76" s="2" t="str">
        <x:v>https://developer.apple.com/support/payment-options-on-the-app-store-in-the-eu/</x:v>
      </x:c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3" customHeight="1">
      <x:c r="A77" s="2"/>
      <x:c r="B77" s="2" t="str">
        <x:v>S04 appleAgreement</x:v>
      </x:c>
      <x:c r="C77" s="2" t="str">
        <x:v>https://developer.apple.com/support/terms/apple-developer-program-license-agreement/</x:v>
      </x:c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3" customHeight="1">
      <x:c r="A78" s="2"/>
      <x:c r="B78" s="2" t="str">
        <x:v>S05 appleReview</x:v>
      </x:c>
      <x:c r="C78" s="2" t="str">
        <x:v>https://developer.apple.com/app-store/review/guidelines/</x:v>
      </x:c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3" customHeight="1">
      <x:c r="A79" s="2"/>
      <x:c r="B79" s="2" t="str">
        <x:v>S06 playFees</x:v>
      </x:c>
      <x:c r="C79" s="2" t="str">
        <x:v>https://support.google.com/googleplay/android-developer/answer/112622?hl=en</x:v>
      </x:c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3" customHeight="1">
      <x:c r="A80" s="2"/>
      <x:c r="B80" s="2" t="str">
        <x:v>S07 playEEA</x:v>
      </x:c>
      <x:c r="C80" s="2" t="str">
        <x:v>https://support.google.com/googleplay/android-developer/answer/12348241?hl=en</x:v>
      </x:c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3" customHeight="1">
      <x:c r="A81" s="2"/>
      <x:c r="B81" s="2" t="str">
        <x:v>S08 playUS</x:v>
      </x:c>
      <x:c r="C81" s="2" t="str">
        <x:v>https://support.google.com/googleplay/android-developer/answer/16497028?hl=en</x:v>
      </x:c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3" customHeight="1">
      <x:c r="A82" s="2"/>
      <x:c r="B82" s="2" t="str">
        <x:v>S09 stripePayments</x:v>
      </x:c>
      <x:c r="C82" s="2" t="str">
        <x:v>https://stripe.com/en-hr/pricing</x:v>
      </x:c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3" customHeight="1">
      <x:c r="A83" s="2"/>
      <x:c r="B83" s="2" t="str">
        <x:v>S10 stripeBilling</x:v>
      </x:c>
      <x:c r="C83" s="2" t="str">
        <x:v>https://stripe.com/en-hr/billing/pricing</x:v>
      </x:c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3" customHeight="1">
      <x:c r="A84" s="2"/>
      <x:c r="B84" s="2" t="str">
        <x:v>S11 stripeTax</x:v>
      </x:c>
      <x:c r="C84" s="2" t="str">
        <x:v>https://support.stripe.com/questions/understanding-stripe-tax-pricing?locale=en-GB</x:v>
      </x:c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3" customHeight="1">
      <x:c r="A85" s="2"/>
      <x:c r="B85" s="2" t="str">
        <x:v>S12 revenueCatPricing</x:v>
      </x:c>
      <x:c r="C85" s="2" t="str">
        <x:v>https://www.revenuecat.com/pricing</x:v>
      </x:c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3" customHeight="1">
      <x:c r="A86" s="2"/>
      <x:c r="B86" s="2" t="str">
        <x:v>S13 revenueCatMTR</x:v>
      </x:c>
      <x:c r="C86" s="2" t="str">
        <x:v>https://www.revenuecat.com/docs/welcome/set-up-revenuecat/account-management</x:v>
      </x:c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3" customHeight="1">
      <x:c r="A87" s="2"/>
      <x:c r="B87" s="2" t="str">
        <x:v>S14 catalog</x:v>
      </x:c>
      <x:c r="C87" s="2" t="str">
        <x:v>worker/src/plans.ts</x:v>
      </x:c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3" customHeight="1">
      <x:c r="A88" s="2"/>
      <x:c r="B88" s="2" t="str">
        <x:v>S15 vat</x:v>
      </x:c>
      <x:c r="C88" s="2" t="str">
        <x:v>https://europa.eu/youreurope/business/finance-and-tax/vat/vat-rules-rates/index_en.htm</x:v>
      </x:c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3" customHeight="1">
      <x:c r="A90" s="2"/>
      <x:c r="B90" s="2" t="str">
        <x:v>Checked 13 September 2026. Live prices and accepted contracts need recheck.</x:v>
      </x:c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3" customHeight="1">
      <x:c r="A92" s="2"/>
      <x:c r="B92" s="20" t="str">
        <x:v>Model limits</x:v>
      </x:c>
      <x:c r="C92" s="20"/>
      <x:c r="D92" s="20"/>
      <x:c r="E92" s="20"/>
      <x:c r="F92" s="20"/>
      <x:c r="G92" s="2"/>
      <x:c r="H92" s="2"/>
      <x:c r="I92" s="2"/>
      <x:c r="J92" s="2"/>
      <x:c r="K92" s="2"/>
      <x:c r="L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3" customHeight="1">
      <x:c r="A94" s="2"/>
      <x:c r="B94" s="2" t="str">
        <x:v>One tax setting applies to this comparison. Use 0% for a no-sales-tax scenario, not an assumed US rule.</x:v>
      </x:c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3" customHeight="1">
      <x:c r="A95" s="2"/>
      <x:c r="B95" s="2" t="str">
        <x:v>All prices remain EUR. International card cost is not a USD price conversion or a US merchant fee.</x:v>
      </x:c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3" customHeight="1">
      <x:c r="A96" s="2"/>
      <x:c r="B96" s="2" t="str">
        <x:v>US iOS link permission is verified; its zero-fee input is only a sensitivity, not a final contractual quote.</x:v>
      </x:c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3" customHeight="1">
      <x:c r="A97" s="2"/>
      <x:c r="B97" s="2" t="str">
        <x:v>Refunds reverse revenue and transaction tax. Commission/PSP/Billing/Tax credits are editable assumptions.</x:v>
      </x:c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3" customHeight="1">
      <x:c r="A98" s="2"/>
      <x:c r="B98" s="2" t="str">
        <x:v>RevenueCat is estimated on pre-refund gross. Check adjustments and the precise threshold boundary.</x:v>
      </x:c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3" customHeight="1">
      <x:c r="A99" s="2"/>
      <x:c r="B99" s="2" t="str">
        <x:v>Annual charges enter MTR in full. Monthly cash contribution and recognized profit are different measures.</x:v>
      </x:c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3" customHeight="1">
      <x:c r="A100" s="2"/>
      <x:c r="B100" s="2" t="str">
        <x:v>Future EU/US program fees are modeled without enrollment or eligibility assumptions becoming approvals.</x:v>
      </x:c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3" customHeight="1">
      <x:c r="A101" s="2"/>
      <x:c r="B101" s="2" t="str">
        <x:v>Cost cells are intentionally blank until supplied. Enter 0 only when the cost is actually zero.</x:v>
      </x:c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3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3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3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3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3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3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3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3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</x:sheetData>
  <x:conditionalFormatting sqref="C37:C42">
    <x:cfRule type="containsBlanks" dxfId="0" priority="1"/>
  </x:conditionalFormatting>
  <x:dataValidations count="4">
    <x:dataValidation type="whole" operator="between" sqref="C7">
      <x:formula1>0</x:formula1>
      <x:formula2>1</x:formula2>
    </x:dataValidation>
    <x:dataValidation type="whole" operator="between" sqref="C28">
      <x:formula1>0</x:formula1>
      <x:formula2>1</x:formula2>
    </x:dataValidation>
    <x:dataValidation type="whole" operator="between" sqref="C35">
      <x:formula1>1</x:formula1>
      <x:formula2>6</x:formula2>
    </x:dataValidation>
    <x:dataValidation type="whole" operator="between" sqref="C36">
      <x:formula1>1</x:formula1>
      <x:formula2>10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1A89A"/>
  </x:sheetPr>
  <x:sheetViews>
    <x:sheetView showGridLines="0" workbookViewId="0"/>
  </x:sheetViews>
  <x:sheetFormatPr defaultRowHeight="15"/>
  <x:cols>
    <x:col min="1" max="1" width="2.440000057220459" hidden="0" customWidth="1"/>
    <x:col min="2" max="2" width="37.779998779296875" hidden="0" customWidth="1"/>
    <x:col min="3" max="3" width="17.780000686645508" hidden="0" customWidth="1"/>
    <x:col min="4" max="4" width="2" hidden="0" customWidth="1"/>
    <x:col min="5" max="5" width="71.11000061035156" hidden="0" customWidth="1"/>
    <x:col min="6" max="6" width="2.2200000286102295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0" customHeight="1">
      <x:c r="A2" s="2"/>
      <x:c r="B2" s="3" t="str">
        <x:v>Monthly contribution and profit inputs</x:v>
      </x:c>
      <x:c r="C2" s="2"/>
      <x:c r="D2" s="2"/>
      <x:c r="E2" s="2"/>
      <x:c r="F2" s="2"/>
    </x:row>
    <x:row r="3" ht="23" customHeight="1">
      <x:c r="A3" s="2"/>
      <x:c r="B3" s="4"/>
      <x:c r="C3" s="4"/>
      <x:c r="D3" s="4"/>
      <x:c r="E3" s="4"/>
      <x:c r="F3" s="2"/>
    </x:row>
    <x:row r="4" ht="23" customHeight="1">
      <x:c r="A4" s="2"/>
      <x:c r="B4" s="2" t="str">
        <x:v>The 1,000-payment example is illustrative. Missing expenses keep profit unavailable.</x:v>
      </x:c>
      <x:c r="C4" s="2"/>
      <x:c r="D4" s="2"/>
      <x:c r="E4" s="2"/>
      <x:c r="F4" s="2"/>
    </x:row>
    <x:row r="5" ht="38" customHeight="1">
      <x:c r="A5" s="2"/>
      <x:c r="B5" s="2" t="str">
        <x:v>Selected catalog item</x:v>
      </x:c>
      <x:c r="C5" s="28" t="str">
        <x:f>INDEX('Assumptions'!$B$49:$B$54,'Assumptions'!$C$35)</x:f>
        <x:v>Advanced monthly</x:v>
      </x:c>
      <x:c r="D5" s="2"/>
      <x:c r="E5" s="2" t="str">
        <x:v>Change the authoritative selections in Assumptions C35:C36.</x:v>
      </x:c>
      <x:c r="F5" s="2"/>
    </x:row>
    <x:row r="6" ht="38" customHeight="1">
      <x:c r="A6" s="2"/>
      <x:c r="B6" s="2" t="str">
        <x:v>Selected payment channel</x:v>
      </x:c>
      <x:c r="C6" s="28" t="str">
        <x:f>INDEX('Assumptions'!$B$60:$B$69,'Assumptions'!$C$36)</x:f>
        <x:v>Native reduced / Play</x:v>
      </x:c>
      <x:c r="D6" s="2"/>
      <x:c r="E6" s="2"/>
      <x:c r="F6" s="2"/>
    </x:row>
    <x:row r="7" ht="23" customHeight="1">
      <x:c r="A7" s="2"/>
      <x:c r="B7" s="2" t="str">
        <x:v>Successful payments in month</x:v>
      </x:c>
      <x:c r="C7" s="39" t="n">
        <x:f>'Assumptions'!C34</x:f>
        <x:v>1000</x:v>
      </x:c>
      <x:c r="D7" s="2"/>
      <x:c r="E7" s="2"/>
      <x:c r="F7" s="2"/>
    </x:row>
    <x:row r="8" ht="23" customHeight="1">
      <x:c r="A8" s="2"/>
      <x:c r="B8" s="2" t="str">
        <x:v>Months of service per payment</x:v>
      </x:c>
      <x:c r="C8" s="39" t="n">
        <x:f>INDEX('Assumptions'!$C$49:$C$54,'Assumptions'!$C$35)</x:f>
        <x:v>1</x:v>
      </x:c>
      <x:c r="D8" s="2"/>
      <x:c r="E8" s="2"/>
      <x:c r="F8" s="2"/>
    </x:row>
    <x:row r="9" ht="23" customHeight="1">
      <x:c r="A9" s="2"/>
      <x:c r="B9" s="2"/>
      <x:c r="C9" s="2"/>
      <x:c r="D9" s="2"/>
      <x:c r="E9" s="2"/>
      <x:c r="F9" s="2"/>
    </x:row>
    <x:row r="10" ht="23" customHeight="1">
      <x:c r="A10" s="2"/>
      <x:c r="B10" s="2" t="str">
        <x:v>Gross cash collected</x:v>
      </x:c>
      <x:c r="C10" s="36" t="n">
        <x:f>INDEX('Unit economics'!$D$23:$D$82,('Assumptions'!$C$35-1)*10+'Assumptions'!$C$36)*$C$7</x:f>
        <x:v>6000</x:v>
      </x:c>
      <x:c r="D10" s="2"/>
      <x:c r="E10" s="2" t="str">
        <x:v>Annual charges enter this month in full; they are not monthly earned revenue.</x:v>
      </x:c>
      <x:c r="F10" s="2"/>
    </x:row>
    <x:row r="11" ht="23" customHeight="1">
      <x:c r="A11" s="2"/>
      <x:c r="B11" s="2" t="str">
        <x:v>Gross refunds</x:v>
      </x:c>
      <x:c r="C11" s="36" t="n">
        <x:f>INDEX('Unit economics'!$E$23:$E$82,('Assumptions'!$C$35-1)*10+'Assumptions'!$C$36)*$C$7</x:f>
        <x:v>0</x:v>
      </x:c>
      <x:c r="D11" s="2"/>
      <x:c r="E11" s="2"/>
      <x:c r="F11" s="2"/>
    </x:row>
    <x:row r="12" ht="23" customHeight="1">
      <x:c r="A12" s="2"/>
      <x:c r="B12" s="2" t="str">
        <x:v>Transaction tax retained for remittance</x:v>
      </x:c>
      <x:c r="C12" s="36" t="n">
        <x:f>INDEX('Unit economics'!$F$23:$F$82,('Assumptions'!$C$35-1)*10+'Assumptions'!$C$36)*$C$7</x:f>
        <x:v>1200</x:v>
      </x:c>
      <x:c r="D12" s="2"/>
      <x:c r="E12" s="2"/>
      <x:c r="F12" s="2"/>
    </x:row>
    <x:row r="13" ht="23" customHeight="1">
      <x:c r="A13" s="2"/>
      <x:c r="B13" s="2" t="str">
        <x:v>Retained sales, excluding tax</x:v>
      </x:c>
      <x:c r="C13" s="36" t="n">
        <x:f>INDEX('Unit economics'!$G$23:$G$82,('Assumptions'!$C$35-1)*10+'Assumptions'!$C$36)*$C$7</x:f>
        <x:v>4800</x:v>
      </x:c>
      <x:c r="D13" s="2"/>
      <x:c r="E13" s="2"/>
      <x:c r="F13" s="2"/>
    </x:row>
    <x:row r="14" ht="23" customHeight="1">
      <x:c r="A14" s="2"/>
      <x:c r="B14" s="2" t="str">
        <x:v>Store commission</x:v>
      </x:c>
      <x:c r="C14" s="36" t="n">
        <x:f>INDEX('Unit economics'!$H$23:$H$82,('Assumptions'!$C$35-1)*10+'Assumptions'!$C$36)*$C$7</x:f>
        <x:v>720</x:v>
      </x:c>
      <x:c r="D14" s="2"/>
      <x:c r="E14" s="2"/>
      <x:c r="F14" s="2"/>
    </x:row>
    <x:row r="15" ht="23" customHeight="1">
      <x:c r="A15" s="2"/>
      <x:c r="B15" s="2" t="str">
        <x:v>Processing including fixed fees</x:v>
      </x:c>
      <x:c r="C15" s="36" t="n">
        <x:f>INDEX('Unit economics'!$I$23:$I$82,('Assumptions'!$C$35-1)*10+'Assumptions'!$C$36)*$C$7</x:f>
        <x:v>0</x:v>
      </x:c>
      <x:c r="D15" s="2"/>
      <x:c r="E15" s="2"/>
      <x:c r="F15" s="2"/>
    </x:row>
    <x:row r="16" ht="23" customHeight="1">
      <x:c r="A16" s="2"/>
      <x:c r="B16" s="2" t="str">
        <x:v>Stripe Billing</x:v>
      </x:c>
      <x:c r="C16" s="36" t="n">
        <x:f>INDEX('Unit economics'!$J$23:$J$82,('Assumptions'!$C$35-1)*10+'Assumptions'!$C$36)*$C$7</x:f>
        <x:v>0</x:v>
      </x:c>
      <x:c r="D16" s="2"/>
      <x:c r="E16" s="2"/>
      <x:c r="F16" s="2"/>
    </x:row>
    <x:row r="17" ht="23" customHeight="1">
      <x:c r="A17" s="2"/>
      <x:c r="B17" s="2" t="str">
        <x:v>Stripe Tax Basic</x:v>
      </x:c>
      <x:c r="C17" s="36" t="n">
        <x:f>INDEX('Unit economics'!$K$23:$K$82,('Assumptions'!$C$35-1)*10+'Assumptions'!$C$36)*$C$7</x:f>
        <x:v>0</x:v>
      </x:c>
      <x:c r="D17" s="2"/>
      <x:c r="E17" s="2"/>
      <x:c r="F17" s="2"/>
    </x:row>
    <x:row r="18" ht="23" customHeight="1">
      <x:c r="A18" s="2"/>
      <x:c r="B18" s="2" t="str">
        <x:v>Extra currency conversion</x:v>
      </x:c>
      <x:c r="C18" s="36" t="n">
        <x:f>INDEX('Unit economics'!$L$23:$L$82,('Assumptions'!$C$35-1)*10+'Assumptions'!$C$36)*$C$7</x:f>
        <x:v>0</x:v>
      </x:c>
      <x:c r="D18" s="2"/>
      <x:c r="E18" s="2"/>
      <x:c r="F18" s="2"/>
    </x:row>
    <x:row r="19" ht="23" customHeight="1">
      <x:c r="A19" s="2"/>
      <x:c r="B19" s="20" t="str">
        <x:v>Payment proceeds</x:v>
      </x:c>
      <x:c r="C19" s="42" t="n">
        <x:f>C13-SUM(C14:C18)</x:f>
        <x:v>4080</x:v>
      </x:c>
      <x:c r="D19" s="2"/>
      <x:c r="E19" s="2" t="str">
        <x:v>Payment proceeds exclude middleware, support, infrastructure and acquisition.</x:v>
      </x:c>
      <x:c r="F19" s="2"/>
    </x:row>
    <x:row r="20" ht="23" customHeight="1">
      <x:c r="A20" s="2"/>
      <x:c r="B20" s="2"/>
      <x:c r="C20" s="36"/>
      <x:c r="D20" s="2"/>
      <x:c r="E20" s="2"/>
      <x:c r="F20" s="2"/>
    </x:row>
    <x:row r="21" ht="23" customHeight="1">
      <x:c r="A21" s="2"/>
      <x:c r="B21" s="2" t="str">
        <x:v>This cohort gross tracked by RevenueCat</x:v>
      </x:c>
      <x:c r="C21" s="36" t="n">
        <x:f>C10*'Assumptions'!C29</x:f>
        <x:v>6000</x:v>
      </x:c>
      <x:c r="D21" s="2"/>
      <x:c r="E21" s="2"/>
      <x:c r="F21" s="2"/>
    </x:row>
    <x:row r="22" ht="23" customHeight="1">
      <x:c r="A22" s="2"/>
      <x:c r="B22" s="2" t="str">
        <x:v>Other tracked revenue (USD)</x:v>
      </x:c>
      <x:c r="C22" s="37" t="n">
        <x:f>'Assumptions'!C33</x:f>
        <x:v>0</x:v>
      </x:c>
      <x:c r="D22" s="2"/>
      <x:c r="E22" s="2"/>
      <x:c r="F22" s="2"/>
    </x:row>
    <x:row r="23" ht="23" customHeight="1">
      <x:c r="A23" s="2"/>
      <x:c r="B23" s="2" t="str">
        <x:v>Total MTR for threshold (USD)</x:v>
      </x:c>
      <x:c r="C23" s="37" t="n">
        <x:f>C21*'Assumptions'!C32+C22</x:f>
        <x:v>6000</x:v>
      </x:c>
      <x:c r="D23" s="2"/>
      <x:c r="E23" s="2" t="str">
        <x:v>USD conversion starts at an illustrative 1.00. Other tracked MTR can trigger the fee.</x:v>
      </x:c>
      <x:c r="F23" s="2"/>
    </x:row>
    <x:row r="24" ht="23" customHeight="1">
      <x:c r="A24" s="2"/>
      <x:c r="B24" s="2" t="str">
        <x:v>Applied RevenueCat rate</x:v>
      </x:c>
      <x:c r="C24" s="38" t="n">
        <x:f>IF('Assumptions'!C28=0,0,IF(C23&lt;'Assumptions'!C30,0,'Assumptions'!C31))</x:f>
        <x:v>0.01</x:v>
      </x:c>
      <x:c r="D24" s="2"/>
      <x:c r="E24" s="2" t="str">
        <x:v>Paid rate applies to all tracked cohort gross, not just the excess over $2,500.</x:v>
      </x:c>
      <x:c r="F24" s="2"/>
    </x:row>
    <x:row r="25" ht="23" customHeight="1">
      <x:c r="A25" s="2"/>
      <x:c r="B25" s="2" t="str">
        <x:v>This cohort RevenueCat fee</x:v>
      </x:c>
      <x:c r="C25" s="36" t="n">
        <x:f>C21*C24</x:f>
        <x:v>60</x:v>
      </x:c>
      <x:c r="D25" s="2"/>
      <x:c r="E25" s="2"/>
      <x:c r="F25" s="2"/>
    </x:row>
    <x:row r="26" ht="23" customHeight="1">
      <x:c r="A26" s="2"/>
      <x:c r="B26" s="20" t="str">
        <x:v>Cash after payment and middleware fees</x:v>
      </x:c>
      <x:c r="C26" s="42" t="n">
        <x:f>C19-C25</x:f>
        <x:v>4020</x:v>
      </x:c>
      <x:c r="D26" s="2"/>
      <x:c r="E26" s="2" t="str">
        <x:v>RevenueCat uses pre-refund gross here; verify actual invoice adjustments.</x:v>
      </x:c>
      <x:c r="F26" s="2"/>
    </x:row>
    <x:row r="27" ht="23" customHeight="1">
      <x:c r="A27" s="2"/>
      <x:c r="B27" s="2"/>
      <x:c r="C27" s="36"/>
      <x:c r="D27" s="2"/>
      <x:c r="E27" s="2"/>
      <x:c r="F27" s="2"/>
    </x:row>
    <x:row r="28" ht="23" customHeight="1">
      <x:c r="A28" s="2"/>
      <x:c r="B28" s="2" t="str">
        <x:v>Variable delivery / support expense</x:v>
      </x:c>
      <x:c r="C28" s="36" t="str">
        <x:f>IF(ISNUMBER('Assumptions'!C37),'Assumptions'!C37,"n.a.")</x:f>
        <x:v>n.a.</x:v>
      </x:c>
      <x:c r="D28" s="2"/>
      <x:c r="E28" s="2"/>
      <x:c r="F28" s="2"/>
    </x:row>
    <x:row r="29" ht="23" customHeight="1">
      <x:c r="A29" s="2"/>
      <x:c r="B29" s="20" t="str">
        <x:v>Contribution after variable costs</x:v>
      </x:c>
      <x:c r="C29" s="42" t="str">
        <x:f>IF(ISNUMBER(C28),C26-C28,"n.a.")</x:f>
        <x:v>n.a.</x:v>
      </x:c>
      <x:c r="D29" s="2"/>
      <x:c r="E29" s="2" t="str">
        <x:v>Missing variable costs. Supply Assumptions C37; zero remains a valid explicit input.</x:v>
      </x:c>
      <x:c r="F29" s="2"/>
    </x:row>
    <x:row r="30" ht="23" customHeight="1">
      <x:c r="A30" s="2"/>
      <x:c r="B30" s="2" t="str">
        <x:v>Customer acquisition expense</x:v>
      </x:c>
      <x:c r="C30" s="36" t="str">
        <x:f>IF(ISNUMBER('Assumptions'!C40),'Assumptions'!C40,"n.a.")</x:f>
        <x:v>n.a.</x:v>
      </x:c>
      <x:c r="D30" s="2"/>
      <x:c r="E30" s="2"/>
      <x:c r="F30" s="2"/>
    </x:row>
    <x:row r="31" ht="23" customHeight="1">
      <x:c r="A31" s="2"/>
      <x:c r="B31" s="2" t="str">
        <x:v>Allocated fixed operating expense</x:v>
      </x:c>
      <x:c r="C31" s="36" t="str">
        <x:f>IF(ISNUMBER('Assumptions'!C38),'Assumptions'!C38,"n.a.")</x:f>
        <x:v>n.a.</x:v>
      </x:c>
      <x:c r="D31" s="2"/>
      <x:c r="E31" s="2"/>
      <x:c r="F31" s="2"/>
    </x:row>
    <x:row r="32" ht="23" customHeight="1">
      <x:c r="A32" s="2"/>
      <x:c r="B32" s="2" t="str">
        <x:v>Development / design expense</x:v>
      </x:c>
      <x:c r="C32" s="36" t="str">
        <x:f>IF(ISNUMBER('Assumptions'!C39),'Assumptions'!C39,"n.a.")</x:f>
        <x:v>n.a.</x:v>
      </x:c>
      <x:c r="D32" s="2"/>
      <x:c r="E32" s="2"/>
      <x:c r="F32" s="2"/>
    </x:row>
    <x:row r="33" ht="23" customHeight="1">
      <x:c r="A33" s="2"/>
      <x:c r="B33" s="20" t="str">
        <x:v>Cash after modeled costs</x:v>
      </x:c>
      <x:c r="C33" s="42" t="str">
        <x:f>IF(COUNT(C28,C30:C32)=4,C26-SUM(C28,C30:C32),"n.a.")</x:f>
        <x:v>n.a.</x:v>
      </x:c>
      <x:c r="D33" s="2"/>
      <x:c r="E33" s="2" t="str">
        <x:v>Cash calculation. Annual subscriptions may require service delivery in later months.</x:v>
      </x:c>
      <x:c r="F33" s="2"/>
    </x:row>
    <x:row r="34" ht="23" customHeight="1">
      <x:c r="A34" s="2"/>
      <x:c r="B34" s="2"/>
      <x:c r="C34" s="36"/>
      <x:c r="D34" s="2"/>
      <x:c r="E34" s="2"/>
      <x:c r="F34" s="2"/>
    </x:row>
    <x:row r="35" ht="23" customHeight="1">
      <x:c r="A35" s="2"/>
      <x:c r="B35" s="2" t="str">
        <x:v>Recognized net revenue</x:v>
      </x:c>
      <x:c r="C35" s="36" t="str">
        <x:f>IF(ISNUMBER('Assumptions'!C41),'Assumptions'!C41,"n.a.")</x:f>
        <x:v>n.a.</x:v>
      </x:c>
      <x:c r="D35" s="2"/>
      <x:c r="E35" s="2" t="str">
        <x:v>Supply matching-period recognized revenue and fees in Assumptions C41:C42.</x:v>
      </x:c>
      <x:c r="F35" s="2"/>
    </x:row>
    <x:row r="36" ht="23" customHeight="1">
      <x:c r="A36" s="2"/>
      <x:c r="B36" s="2" t="str">
        <x:v>Recognized channel / middleware expense</x:v>
      </x:c>
      <x:c r="C36" s="36" t="str">
        <x:f>IF(ISNUMBER('Assumptions'!C42),'Assumptions'!C42,"n.a.")</x:f>
        <x:v>n.a.</x:v>
      </x:c>
      <x:c r="D36" s="2"/>
      <x:c r="E36" s="2"/>
      <x:c r="F36" s="2"/>
    </x:row>
    <x:row r="37" ht="23" customHeight="1">
      <x:c r="A37" s="2"/>
      <x:c r="B37" s="20" t="str">
        <x:v>Operating profit before income taxes</x:v>
      </x:c>
      <x:c r="C37" s="42" t="str">
        <x:f>IF(COUNT(C28,C30:C32,C35:C36)=6,C35-C36-SUM(C28,C30:C32),"n.a.")</x:f>
        <x:v>n.a.</x:v>
      </x:c>
      <x:c r="D37" s="2"/>
      <x:c r="E37" s="2" t="str">
        <x:v>Operating profit excludes income tax, financing, distributions and owner take-home.</x:v>
      </x:c>
      <x:c r="F37" s="2"/>
    </x:row>
    <x:row r="38" ht="23" customHeight="1">
      <x:c r="A38" s="2"/>
      <x:c r="B38" s="2"/>
      <x:c r="C38" s="2"/>
      <x:c r="D38" s="2"/>
      <x:c r="E38" s="2"/>
      <x:c r="F38" s="2"/>
    </x:row>
    <x:row r="39" ht="23" customHeight="1">
      <x:c r="A39" s="2"/>
      <x:c r="B39" s="2"/>
      <x:c r="C39" s="2"/>
      <x:c r="D39" s="2"/>
      <x:c r="E39" s="2"/>
      <x:c r="F39" s="2"/>
    </x:row>
    <x:row r="40" ht="23" customHeight="1">
      <x:c r="A40" s="2"/>
      <x:c r="B40" s="2" t="str">
        <x:v>Research date: 13 September 2026. Published terms may change before native billing launches.</x:v>
      </x:c>
      <x:c r="C40" s="2"/>
      <x:c r="D40" s="2"/>
      <x:c r="E40" s="2"/>
      <x:c r="F40" s="2"/>
    </x:row>
    <x:row r="41" ht="23" customHeight="1">
      <x:c r="A41" s="2"/>
      <x:c r="B41" s="2"/>
      <x:c r="C41" s="2"/>
      <x:c r="D41" s="2"/>
      <x:c r="E41" s="2"/>
      <x:c r="F41" s="2"/>
    </x:row>
    <x:row r="42" ht="23" customHeight="1">
      <x:c r="A42" s="2"/>
      <x:c r="B42" s="2"/>
      <x:c r="C42" s="2"/>
      <x:c r="D42" s="2"/>
      <x:c r="E42" s="2"/>
      <x:c r="F42" s="2"/>
    </x:row>
    <x:row r="43" ht="23" customHeight="1">
      <x:c r="A43" s="2"/>
      <x:c r="B43" s="2"/>
      <x:c r="C43" s="2"/>
      <x:c r="D43" s="2"/>
      <x:c r="E43" s="2"/>
      <x:c r="F43" s="2"/>
    </x:row>
    <x:row r="44" ht="23" customHeight="1">
      <x:c r="A44" s="2"/>
      <x:c r="B44" s="2"/>
      <x:c r="C44" s="2"/>
      <x:c r="D44" s="2"/>
      <x:c r="E44" s="2"/>
      <x:c r="F44" s="2"/>
    </x:row>
  </x:sheetData>
  <x:conditionalFormatting sqref="C28:C37">
    <x:cfRule type="containsText" dxfId="1" priority="1" operator="containsText" text="n.a."/>
  </x:conditionalFormatting>
  <x:pageMargins left="0.7" right="0.7" top="0.75" bottom="0.75" header="0.3" footer="0.3"/>
</x:worksheet>
</file>